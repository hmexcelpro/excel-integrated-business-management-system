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/>
  <xr:revisionPtr revIDLastSave="0" documentId="8_{9269A7BE-F1EA-7247-B93C-05939F41739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ecutive Dashboard" sheetId="1" r:id="rId1"/>
    <sheet name="Sales" sheetId="2" r:id="rId2"/>
    <sheet name="Finance" sheetId="3" r:id="rId3"/>
    <sheet name="Inventory" sheetId="4" r:id="rId4"/>
    <sheet name="HR" sheetId="5" r:id="rId5"/>
    <sheet name="Instructions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F11" i="4"/>
  <c r="H11" i="4"/>
  <c r="E10" i="4"/>
  <c r="F10" i="4"/>
  <c r="H10" i="4"/>
  <c r="E9" i="4"/>
  <c r="F9" i="4"/>
  <c r="H9" i="4"/>
  <c r="E8" i="4"/>
  <c r="F8" i="4"/>
  <c r="H8" i="4"/>
  <c r="E7" i="4"/>
  <c r="F7" i="4"/>
  <c r="H7" i="4"/>
  <c r="E6" i="4"/>
  <c r="F6" i="4"/>
  <c r="H6" i="4"/>
  <c r="E5" i="4"/>
  <c r="F5" i="4"/>
  <c r="H5" i="4"/>
  <c r="E4" i="4"/>
  <c r="F4" i="4"/>
  <c r="H4" i="4"/>
  <c r="F39" i="3"/>
  <c r="F38" i="3"/>
  <c r="F37" i="3"/>
  <c r="F36" i="3"/>
  <c r="H39" i="2"/>
  <c r="H40" i="2"/>
  <c r="H41" i="2"/>
  <c r="H4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43" i="2"/>
  <c r="F35" i="3"/>
  <c r="F34" i="3"/>
  <c r="F33" i="3"/>
  <c r="F32" i="3"/>
  <c r="F31" i="3"/>
  <c r="F30" i="3"/>
  <c r="F29" i="3"/>
  <c r="F28" i="3"/>
  <c r="F4" i="3"/>
  <c r="I43" i="2"/>
  <c r="J43" i="2"/>
  <c r="I42" i="2"/>
  <c r="J42" i="2"/>
  <c r="I41" i="2"/>
  <c r="J41" i="2"/>
  <c r="I40" i="2"/>
  <c r="J40" i="2"/>
  <c r="I39" i="2"/>
  <c r="J39" i="2"/>
  <c r="I38" i="2"/>
  <c r="J38" i="2"/>
  <c r="I37" i="2"/>
  <c r="J37" i="2"/>
  <c r="I36" i="2"/>
  <c r="J36" i="2"/>
  <c r="I35" i="2"/>
  <c r="J35" i="2"/>
  <c r="I34" i="2"/>
  <c r="J34" i="2"/>
  <c r="I33" i="2"/>
  <c r="J33" i="2"/>
  <c r="I32" i="2"/>
  <c r="J32" i="2"/>
  <c r="I31" i="2"/>
  <c r="J31" i="2"/>
  <c r="I30" i="2"/>
  <c r="J30" i="2"/>
  <c r="I29" i="2"/>
  <c r="J29" i="2"/>
  <c r="I28" i="2"/>
  <c r="J28" i="2"/>
  <c r="I27" i="2"/>
  <c r="J27" i="2"/>
  <c r="I26" i="2"/>
  <c r="J26" i="2"/>
  <c r="I25" i="2"/>
  <c r="J25" i="2"/>
  <c r="I24" i="2"/>
  <c r="J24" i="2"/>
  <c r="I23" i="2"/>
  <c r="J23" i="2"/>
  <c r="I22" i="2"/>
  <c r="J22" i="2"/>
  <c r="I21" i="2"/>
  <c r="J21" i="2"/>
  <c r="I20" i="2"/>
  <c r="J20" i="2"/>
  <c r="I19" i="2"/>
  <c r="J19" i="2"/>
  <c r="I18" i="2"/>
  <c r="J18" i="2"/>
  <c r="I17" i="2"/>
  <c r="J17" i="2"/>
  <c r="I16" i="2"/>
  <c r="J16" i="2"/>
  <c r="I15" i="2"/>
  <c r="J15" i="2"/>
  <c r="I14" i="2"/>
  <c r="J14" i="2"/>
  <c r="I13" i="2"/>
  <c r="J13" i="2"/>
  <c r="I12" i="2"/>
  <c r="J12" i="2"/>
  <c r="I11" i="2"/>
  <c r="J11" i="2"/>
  <c r="I10" i="2"/>
  <c r="J10" i="2"/>
  <c r="I9" i="2"/>
  <c r="J9" i="2"/>
  <c r="I8" i="2"/>
  <c r="J8" i="2"/>
  <c r="I7" i="2"/>
  <c r="J7" i="2"/>
  <c r="I6" i="2"/>
  <c r="J6" i="2"/>
  <c r="I5" i="2"/>
  <c r="J5" i="2"/>
  <c r="I4" i="2"/>
  <c r="J4" i="2"/>
  <c r="C26" i="1"/>
  <c r="D26" i="1"/>
  <c r="E26" i="1"/>
  <c r="B26" i="1"/>
  <c r="C25" i="1"/>
  <c r="D25" i="1"/>
  <c r="E25" i="1"/>
  <c r="B25" i="1"/>
  <c r="C24" i="1"/>
  <c r="D24" i="1"/>
  <c r="E24" i="1"/>
  <c r="B24" i="1"/>
  <c r="C23" i="1"/>
  <c r="D23" i="1"/>
  <c r="E23" i="1"/>
  <c r="B23" i="1"/>
  <c r="J22" i="1"/>
  <c r="G22" i="1"/>
  <c r="I22" i="1"/>
  <c r="H22" i="1"/>
  <c r="C22" i="1"/>
  <c r="D22" i="1"/>
  <c r="E22" i="1"/>
  <c r="B22" i="1"/>
  <c r="J21" i="1"/>
  <c r="G21" i="1"/>
  <c r="I21" i="1"/>
  <c r="H21" i="1"/>
  <c r="C21" i="1"/>
  <c r="D21" i="1"/>
  <c r="E21" i="1"/>
  <c r="B21" i="1"/>
  <c r="J20" i="1"/>
  <c r="G20" i="1"/>
  <c r="I20" i="1"/>
  <c r="H20" i="1"/>
  <c r="C20" i="1"/>
  <c r="D20" i="1"/>
  <c r="E20" i="1"/>
  <c r="B20" i="1"/>
  <c r="J19" i="1"/>
  <c r="G19" i="1"/>
  <c r="I19" i="1"/>
  <c r="H19" i="1"/>
  <c r="C19" i="1"/>
  <c r="D19" i="1"/>
  <c r="E19" i="1"/>
  <c r="B19" i="1"/>
  <c r="J18" i="1"/>
  <c r="G18" i="1"/>
  <c r="I18" i="1"/>
  <c r="H18" i="1"/>
  <c r="C18" i="1"/>
  <c r="D18" i="1"/>
  <c r="E18" i="1"/>
  <c r="B18" i="1"/>
  <c r="J17" i="1"/>
  <c r="G17" i="1"/>
  <c r="I17" i="1"/>
  <c r="H17" i="1"/>
  <c r="C17" i="1"/>
  <c r="D17" i="1"/>
  <c r="E17" i="1"/>
  <c r="B17" i="1"/>
  <c r="J16" i="1"/>
  <c r="G16" i="1"/>
  <c r="I16" i="1"/>
  <c r="H16" i="1"/>
  <c r="C16" i="1"/>
  <c r="D16" i="1"/>
  <c r="E16" i="1"/>
  <c r="B16" i="1"/>
  <c r="J15" i="1"/>
  <c r="G15" i="1"/>
  <c r="I15" i="1"/>
  <c r="H15" i="1"/>
  <c r="C15" i="1"/>
  <c r="D15" i="1"/>
  <c r="E15" i="1"/>
  <c r="B15" i="1"/>
  <c r="K11" i="1"/>
  <c r="H11" i="1"/>
  <c r="E11" i="1"/>
  <c r="B5" i="1"/>
  <c r="E5" i="1"/>
  <c r="H5" i="1"/>
  <c r="K5" i="1"/>
  <c r="B11" i="1"/>
  <c r="K8" i="1"/>
  <c r="H8" i="1"/>
  <c r="E8" i="1"/>
  <c r="B8" i="1"/>
</calcChain>
</file>

<file path=xl/sharedStrings.xml><?xml version="1.0" encoding="utf-8"?>
<sst xmlns="http://schemas.openxmlformats.org/spreadsheetml/2006/main" count="501" uniqueCount="237">
  <si>
    <t>سیستم یکپارچه مدیریت کسب‌وکار HMexcelpro</t>
  </si>
  <si>
    <t>نمای مدیریتی یکپارچه فروش، مالی، موجودی و منابع انسانی</t>
  </si>
  <si>
    <t>درآمد کل</t>
  </si>
  <si>
    <t>سود ناخالص</t>
  </si>
  <si>
    <t>هزینه‌های عملیاتی</t>
  </si>
  <si>
    <t>سود خالص</t>
  </si>
  <si>
    <t>ارزش موجودی</t>
  </si>
  <si>
    <t>اقلام کم‌موجودی</t>
  </si>
  <si>
    <t>کارکنان فعال</t>
  </si>
  <si>
    <t>میانگین عملکرد</t>
  </si>
  <si>
    <t>حاشیه سود</t>
  </si>
  <si>
    <t>میانگین حضور</t>
  </si>
  <si>
    <t>تعداد فروش</t>
  </si>
  <si>
    <t>موجودی در معرض ریسک</t>
  </si>
  <si>
    <t>ماه</t>
  </si>
  <si>
    <t>درآمد</t>
  </si>
  <si>
    <t>هزینه‌ها</t>
  </si>
  <si>
    <t>سهم خالص</t>
  </si>
  <si>
    <t>محصول</t>
  </si>
  <si>
    <t>موجودی فعلی</t>
  </si>
  <si>
    <t>ژانویه</t>
  </si>
  <si>
    <t>فوریه</t>
  </si>
  <si>
    <t>مارس</t>
  </si>
  <si>
    <t>آوریل</t>
  </si>
  <si>
    <t>مه</t>
  </si>
  <si>
    <t>ژوئن</t>
  </si>
  <si>
    <t>ژوئیه</t>
  </si>
  <si>
    <t>اوت</t>
  </si>
  <si>
    <t>سپتامبر</t>
  </si>
  <si>
    <t>اکتبر</t>
  </si>
  <si>
    <t>نوامبر</t>
  </si>
  <si>
    <t>دسامبر</t>
  </si>
  <si>
    <t>فروش و عملکرد کسب‌وکار</t>
  </si>
  <si>
    <t>شناسه سفارش</t>
  </si>
  <si>
    <t>تاریخ</t>
  </si>
  <si>
    <t>شناسه محصول</t>
  </si>
  <si>
    <t>فروشنده</t>
  </si>
  <si>
    <t>تعداد</t>
  </si>
  <si>
    <t>قیمت واحد</t>
  </si>
  <si>
    <t>بهای تمام‌شده</t>
  </si>
  <si>
    <t>SO-1001</t>
  </si>
  <si>
    <t>P001</t>
  </si>
  <si>
    <t>Laptop Stand</t>
  </si>
  <si>
    <t>Ava</t>
  </si>
  <si>
    <t>SO-1002</t>
  </si>
  <si>
    <t>P002</t>
  </si>
  <si>
    <t>Wireless Mouse</t>
  </si>
  <si>
    <t>Liam</t>
  </si>
  <si>
    <t>SO-1003</t>
  </si>
  <si>
    <t>P003</t>
  </si>
  <si>
    <t>Mechanical Keyboard</t>
  </si>
  <si>
    <t>Noah</t>
  </si>
  <si>
    <t>SO-1004</t>
  </si>
  <si>
    <t>P004</t>
  </si>
  <si>
    <t>USB-C Hub</t>
  </si>
  <si>
    <t>Mia</t>
  </si>
  <si>
    <t>SO-1005</t>
  </si>
  <si>
    <t>P005</t>
  </si>
  <si>
    <t>Office Chair</t>
  </si>
  <si>
    <t>SO-1006</t>
  </si>
  <si>
    <t>P006</t>
  </si>
  <si>
    <t>Desk Lamp</t>
  </si>
  <si>
    <t>SO-1007</t>
  </si>
  <si>
    <t>P007</t>
  </si>
  <si>
    <t>Monitor 24in</t>
  </si>
  <si>
    <t>SO-1008</t>
  </si>
  <si>
    <t>P008</t>
  </si>
  <si>
    <t>Webcam HD</t>
  </si>
  <si>
    <t>SO-1009</t>
  </si>
  <si>
    <t>SO-1010</t>
  </si>
  <si>
    <t>SO-1011</t>
  </si>
  <si>
    <t>SO-1012</t>
  </si>
  <si>
    <t>SO-1013</t>
  </si>
  <si>
    <t>SO-1014</t>
  </si>
  <si>
    <t>SO-1015</t>
  </si>
  <si>
    <t>SO-1016</t>
  </si>
  <si>
    <t>SO-1017</t>
  </si>
  <si>
    <t>SO-1018</t>
  </si>
  <si>
    <t>SO-1019</t>
  </si>
  <si>
    <t>SO-1020</t>
  </si>
  <si>
    <t>SO-1021</t>
  </si>
  <si>
    <t>SO-1022</t>
  </si>
  <si>
    <t>SO-1023</t>
  </si>
  <si>
    <t>SO-1024</t>
  </si>
  <si>
    <t>SO-1025</t>
  </si>
  <si>
    <t>SO-1026</t>
  </si>
  <si>
    <t>SO-1027</t>
  </si>
  <si>
    <t>SO-1028</t>
  </si>
  <si>
    <t>SO-1029</t>
  </si>
  <si>
    <t>SO-1030</t>
  </si>
  <si>
    <t>SO-1031</t>
  </si>
  <si>
    <t>SO-1032</t>
  </si>
  <si>
    <t>SO-1033</t>
  </si>
  <si>
    <t>SO-1034</t>
  </si>
  <si>
    <t>SO-1035</t>
  </si>
  <si>
    <t>SO-1036</t>
  </si>
  <si>
    <t>SO-1037</t>
  </si>
  <si>
    <t>SO-1038</t>
  </si>
  <si>
    <t>SO-1039</t>
  </si>
  <si>
    <t>SO-1040</t>
  </si>
  <si>
    <t>مدیریت مالی و هزینه‌ها</t>
  </si>
  <si>
    <t>شناسه ثبت</t>
  </si>
  <si>
    <t>نوع</t>
  </si>
  <si>
    <t>دسته‌بندی</t>
  </si>
  <si>
    <t>شرح</t>
  </si>
  <si>
    <t>مبلغ</t>
  </si>
  <si>
    <t>منبع مرتبط</t>
  </si>
  <si>
    <t>FN-2001</t>
  </si>
  <si>
    <t>Expense</t>
  </si>
  <si>
    <t>حقوق و دستمزد</t>
  </si>
  <si>
    <t>حقوق ماهانه (متصل به منابع انسانی)</t>
  </si>
  <si>
    <t>Operating</t>
  </si>
  <si>
    <t>FN-2002</t>
  </si>
  <si>
    <t>اجاره</t>
  </si>
  <si>
    <t>هزینه اجاره</t>
  </si>
  <si>
    <t>FN-2003</t>
  </si>
  <si>
    <t>بازاریابی</t>
  </si>
  <si>
    <t>هزینه بازاریابی</t>
  </si>
  <si>
    <t>FN-2004</t>
  </si>
  <si>
    <t>خدمات و قبوض</t>
  </si>
  <si>
    <t>هزینه خدمات و قبوض</t>
  </si>
  <si>
    <t>FN-2005</t>
  </si>
  <si>
    <t>نرم‌افزار</t>
  </si>
  <si>
    <t>هزینه نرم‌افزار</t>
  </si>
  <si>
    <t>FN-2006</t>
  </si>
  <si>
    <t>لجستیک</t>
  </si>
  <si>
    <t>هزینه لجستیک</t>
  </si>
  <si>
    <t>FN-2007</t>
  </si>
  <si>
    <t>پاداش / مزایای کارکنان</t>
  </si>
  <si>
    <t>FN-2008</t>
  </si>
  <si>
    <t>FN-2009</t>
  </si>
  <si>
    <t>FN-2010</t>
  </si>
  <si>
    <t>FN-2011</t>
  </si>
  <si>
    <t>FN-2012</t>
  </si>
  <si>
    <t>FN-2013</t>
  </si>
  <si>
    <t>FN-2014</t>
  </si>
  <si>
    <t>FN-2015</t>
  </si>
  <si>
    <t>FN-2016</t>
  </si>
  <si>
    <t>FN-2017</t>
  </si>
  <si>
    <t>FN-2018</t>
  </si>
  <si>
    <t>FN-2019</t>
  </si>
  <si>
    <t>FN-2020</t>
  </si>
  <si>
    <t>FN-2021</t>
  </si>
  <si>
    <t>FN-2022</t>
  </si>
  <si>
    <t>FN-2023</t>
  </si>
  <si>
    <t>FN-2024</t>
  </si>
  <si>
    <t>FN-3001</t>
  </si>
  <si>
    <t>Income</t>
  </si>
  <si>
    <t>Sales Revenue</t>
  </si>
  <si>
    <t>Sales revenue - month 1</t>
  </si>
  <si>
    <t>Sales</t>
  </si>
  <si>
    <t>FN-3002</t>
  </si>
  <si>
    <t>Sales revenue - month 2</t>
  </si>
  <si>
    <t>FN-3003</t>
  </si>
  <si>
    <t>Sales revenue - month 3</t>
  </si>
  <si>
    <t>FN-3004</t>
  </si>
  <si>
    <t>Sales revenue - month 4</t>
  </si>
  <si>
    <t>FN-3005</t>
  </si>
  <si>
    <t>Sales revenue - month 5</t>
  </si>
  <si>
    <t>FN-3006</t>
  </si>
  <si>
    <t>Sales revenue - month 6</t>
  </si>
  <si>
    <t>FN-3007</t>
  </si>
  <si>
    <t>Sales revenue - month 7</t>
  </si>
  <si>
    <t>FN-3008</t>
  </si>
  <si>
    <t>Sales revenue - month 8</t>
  </si>
  <si>
    <t>FN-3009</t>
  </si>
  <si>
    <t>Sales revenue - month 9</t>
  </si>
  <si>
    <t>FN-3010</t>
  </si>
  <si>
    <t>Sales revenue - month 10</t>
  </si>
  <si>
    <t>FN-3011</t>
  </si>
  <si>
    <t>Sales revenue - month 11</t>
  </si>
  <si>
    <t>FN-3012</t>
  </si>
  <si>
    <t>Sales revenue - month 12</t>
  </si>
  <si>
    <t>مدیریت موجودی</t>
  </si>
  <si>
    <t>موجودی اولیه</t>
  </si>
  <si>
    <t>هزینه واحد</t>
  </si>
  <si>
    <t>لوازم جانبی</t>
  </si>
  <si>
    <t>الکترونیک</t>
  </si>
  <si>
    <t>مبلمان</t>
  </si>
  <si>
    <t>منابع انسانی و عملکرد کارکنان</t>
  </si>
  <si>
    <t>شناسه کارمند</t>
  </si>
  <si>
    <t>نام کارمند</t>
  </si>
  <si>
    <t>واحد</t>
  </si>
  <si>
    <t>سمت</t>
  </si>
  <si>
    <t>حقوق ماهانه</t>
  </si>
  <si>
    <t>درصد حضور</t>
  </si>
  <si>
    <t>امتیاز عملکرد</t>
  </si>
  <si>
    <t>وضعیت</t>
  </si>
  <si>
    <t>E001</t>
  </si>
  <si>
    <t>Ava Carter</t>
  </si>
  <si>
    <t>فروش</t>
  </si>
  <si>
    <t>مدیر فروش</t>
  </si>
  <si>
    <t>Active</t>
  </si>
  <si>
    <t>E002</t>
  </si>
  <si>
    <t>Liam Reed</t>
  </si>
  <si>
    <t>کارشناس فروش</t>
  </si>
  <si>
    <t>E003</t>
  </si>
  <si>
    <t>Noah King</t>
  </si>
  <si>
    <t>E004</t>
  </si>
  <si>
    <t>Mia Scott</t>
  </si>
  <si>
    <t>E005</t>
  </si>
  <si>
    <t>Emma Young</t>
  </si>
  <si>
    <t>مالی</t>
  </si>
  <si>
    <t>حسابدار</t>
  </si>
  <si>
    <t>E006</t>
  </si>
  <si>
    <t>Lucas Hall</t>
  </si>
  <si>
    <t>عملیات</t>
  </si>
  <si>
    <t>مسئول موجودی</t>
  </si>
  <si>
    <t>E007</t>
  </si>
  <si>
    <t>Sophia Green</t>
  </si>
  <si>
    <t>منابع انسانی</t>
  </si>
  <si>
    <t>کارشناس منابع انسانی</t>
  </si>
  <si>
    <t>E008</t>
  </si>
  <si>
    <t>Ethan Baker</t>
  </si>
  <si>
    <t>تحلیلگر عملیات</t>
  </si>
  <si>
    <t>راهنمای کاربر — سیستم یکپارچه مدیریت کسب‌وکار HMexcelpro</t>
  </si>
  <si>
    <t>بخش</t>
  </si>
  <si>
    <t>هدف</t>
  </si>
  <si>
    <t>نحوه ارتباط</t>
  </si>
  <si>
    <t>داشبورد مدیریتی</t>
  </si>
  <si>
    <t>نمای مرکزی مدیریت برای درآمد، سود، هزینه‌ها، موجودی و شاخص‌های منابع انسانی.</t>
  </si>
  <si>
    <t>اطلاعات را با فرمول‌های زنده از چهار ماژول عملیاتی دریافت می‌کند.</t>
  </si>
  <si>
    <t>داده‌های سفارش با درآمد، بهای تمام‌شده و سود ناخالص.</t>
  </si>
  <si>
    <t>هزینه محصول از موجودی می‌آید؛ درآمد به مالی و داشبورد منتقل می‌شود.</t>
  </si>
  <si>
    <t>هزینه‌های عملیاتی به‌همراه درآمد فروش.</t>
  </si>
  <si>
    <t>ردیف حقوق به داده‌های منابع انسانی و درآمد فروش به ماژول فروش متصل است.</t>
  </si>
  <si>
    <t>موجودی</t>
  </si>
  <si>
    <t>موجودی اولیه، تعداد فروش، موجودی فعلی و ارزش موجودی.</t>
  </si>
  <si>
    <t>تعداد فروش از تراکنش‌های ماژول فروش محاسبه می‌شود.</t>
  </si>
  <si>
    <t>اطلاعات کارکنان، حقوق، حضور و عملکرد.</t>
  </si>
  <si>
    <t>هزینه حقوق در ماژول مالی از مجموع حقوق منابع انسانی استفاده می‌کند.</t>
  </si>
  <si>
    <t>ورود داده</t>
  </si>
  <si>
    <t>داده‌های نمونه را با دقت جایگزین کنید و فرمول‌های ستون‌های محاسباتی را حفظ کنید.</t>
  </si>
  <si>
    <t>داده‌های نمونه برای نمایش ارتباط کامل ماژول‌ها در نمونه‌کار قرار داده شده‌اند.</t>
  </si>
  <si>
    <t>سازگاری</t>
  </si>
  <si>
    <t>فایل استاندارد .xlsx و بدون ماکرو طراحی شده است.</t>
  </si>
  <si>
    <t>در Excel دسکتاپ یا موبایل باز کنید؛ نمودارها در داشبورد مدیریتی متمرکز هستند.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</si>
</sst>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0.0"/>
    <numFmt numFmtId="167" formatCode="0.0%"/>
  </numFmts>
  <fonts count="9" x14ac:knownFonts="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i/>
      <sz val="10"/>
      <color rgb="FF404040"/>
      <name val="Aptos"/>
    </font>
    <font>
      <sz val="10"/>
      <name val="Aptos"/>
    </font>
    <font>
      <b/>
      <sz val="10"/>
      <name val="Aptos"/>
    </font>
    <font>
      <b/>
      <sz val="18"/>
      <color rgb="FFFFFFFF"/>
      <name val="Aptos Display"/>
    </font>
    <font>
      <b/>
      <sz val="16"/>
      <color rgb="FFFFFFFF"/>
      <name val="Aptos Display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NumberFormat="1" applyFont="1" applyFill="1" applyBorder="1"/>
    <xf numFmtId="0" fontId="6" fillId="5" borderId="0" xfId="0" applyNumberFormat="1" applyFont="1" applyFill="1" applyBorder="1" applyAlignment="1">
      <alignment horizontal="center"/>
    </xf>
    <xf numFmtId="165" fontId="6" fillId="6" borderId="0" xfId="0" applyNumberFormat="1" applyFont="1" applyFill="1" applyBorder="1" applyAlignment="1">
      <alignment horizontal="center"/>
    </xf>
    <xf numFmtId="1" fontId="6" fillId="6" borderId="0" xfId="0" applyNumberFormat="1" applyFont="1" applyFill="1" applyBorder="1" applyAlignment="1">
      <alignment horizontal="center"/>
    </xf>
    <xf numFmtId="166" fontId="6" fillId="6" borderId="0" xfId="0" applyNumberFormat="1" applyFont="1" applyFill="1" applyBorder="1" applyAlignment="1">
      <alignment horizontal="center"/>
    </xf>
    <xf numFmtId="167" fontId="6" fillId="6" borderId="0" xfId="0" applyNumberFormat="1" applyFont="1" applyFill="1" applyBorder="1" applyAlignment="1">
      <alignment horizontal="center"/>
    </xf>
    <xf numFmtId="3" fontId="6" fillId="6" borderId="0" xfId="0" applyNumberFormat="1" applyFont="1" applyFill="1" applyBorder="1" applyAlignment="1">
      <alignment horizontal="center"/>
    </xf>
    <xf numFmtId="0" fontId="3" fillId="3" borderId="0" xfId="0" applyNumberFormat="1" applyFont="1" applyFill="1" applyBorder="1" applyAlignment="1">
      <alignment horizontal="center" vertical="center"/>
    </xf>
    <xf numFmtId="165" fontId="5" fillId="0" borderId="0" xfId="0" applyNumberFormat="1" applyFont="1" applyFill="1" applyBorder="1"/>
    <xf numFmtId="164" fontId="5" fillId="0" borderId="0" xfId="0" applyNumberFormat="1" applyFont="1" applyFill="1" applyBorder="1"/>
    <xf numFmtId="3" fontId="5" fillId="0" borderId="0" xfId="0" applyNumberFormat="1" applyFont="1" applyFill="1" applyBorder="1"/>
    <xf numFmtId="4" fontId="5" fillId="0" borderId="0" xfId="0" applyNumberFormat="1" applyFont="1" applyFill="1" applyBorder="1"/>
    <xf numFmtId="9" fontId="5" fillId="0" borderId="0" xfId="0" applyNumberFormat="1" applyFont="1" applyFill="1" applyBorder="1"/>
    <xf numFmtId="1" fontId="5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7" fillId="4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b/>
        <color rgb="FF991B1B"/>
      </font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Monthly Revenue &amp; Gross Profit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'Executive Dashboard'!$A$15:$A$26</c:f>
              <c:strCache>
                <c:ptCount val="12"/>
                <c:pt idx="0">
                  <c:v>ژانویه</c:v>
                </c:pt>
                <c:pt idx="1">
                  <c:v>فوریه</c:v>
                </c:pt>
                <c:pt idx="2">
                  <c:v>مارس</c:v>
                </c:pt>
                <c:pt idx="3">
                  <c:v>آوریل</c:v>
                </c:pt>
                <c:pt idx="4">
                  <c:v>مه</c:v>
                </c:pt>
                <c:pt idx="5">
                  <c:v>ژوئن</c:v>
                </c:pt>
                <c:pt idx="6">
                  <c:v>ژوئیه</c:v>
                </c:pt>
                <c:pt idx="7">
                  <c:v>اوت</c:v>
                </c:pt>
                <c:pt idx="8">
                  <c:v>سپتامبر</c:v>
                </c:pt>
                <c:pt idx="9">
                  <c:v>اکتبر</c:v>
                </c:pt>
                <c:pt idx="10">
                  <c:v>نوامبر</c:v>
                </c:pt>
                <c:pt idx="11">
                  <c:v>دسامبر</c:v>
                </c:pt>
              </c:strCache>
            </c:strRef>
          </c:cat>
          <c:val>
            <c:numRef>
              <c:f>'Executive Dashboard'!$B$15:$B$26</c:f>
              <c:numCache>
                <c:formatCode>\$#,##0.00</c:formatCode>
                <c:ptCount val="12"/>
                <c:pt idx="0">
                  <c:v>22722.84</c:v>
                </c:pt>
                <c:pt idx="1">
                  <c:v>18313.95</c:v>
                </c:pt>
                <c:pt idx="2">
                  <c:v>33325.69</c:v>
                </c:pt>
                <c:pt idx="3">
                  <c:v>16347.61</c:v>
                </c:pt>
                <c:pt idx="4">
                  <c:v>44879.82</c:v>
                </c:pt>
                <c:pt idx="5">
                  <c:v>23723.64</c:v>
                </c:pt>
                <c:pt idx="6">
                  <c:v>25613.18</c:v>
                </c:pt>
                <c:pt idx="7">
                  <c:v>29310.080000000002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F1-6548-A919-35CA9475028F}"/>
            </c:ext>
          </c:extLst>
        </c:ser>
        <c:ser>
          <c:idx val="1"/>
          <c:order val="1"/>
          <c:tx>
            <c:v>Gross Profit</c:v>
          </c:tx>
          <c:marker>
            <c:symbol val="none"/>
          </c:marker>
          <c:cat>
            <c:strRef>
              <c:f>'Executive Dashboard'!$A$15:$A$26</c:f>
              <c:strCache>
                <c:ptCount val="12"/>
                <c:pt idx="0">
                  <c:v>ژانویه</c:v>
                </c:pt>
                <c:pt idx="1">
                  <c:v>فوریه</c:v>
                </c:pt>
                <c:pt idx="2">
                  <c:v>مارس</c:v>
                </c:pt>
                <c:pt idx="3">
                  <c:v>آوریل</c:v>
                </c:pt>
                <c:pt idx="4">
                  <c:v>مه</c:v>
                </c:pt>
                <c:pt idx="5">
                  <c:v>ژوئن</c:v>
                </c:pt>
                <c:pt idx="6">
                  <c:v>ژوئیه</c:v>
                </c:pt>
                <c:pt idx="7">
                  <c:v>اوت</c:v>
                </c:pt>
                <c:pt idx="8">
                  <c:v>سپتامبر</c:v>
                </c:pt>
                <c:pt idx="9">
                  <c:v>اکتبر</c:v>
                </c:pt>
                <c:pt idx="10">
                  <c:v>نوامبر</c:v>
                </c:pt>
                <c:pt idx="11">
                  <c:v>دسامبر</c:v>
                </c:pt>
              </c:strCache>
            </c:strRef>
          </c:cat>
          <c:val>
            <c:numRef>
              <c:f>'Executive Dashboard'!$C$15:$C$26</c:f>
              <c:numCache>
                <c:formatCode>\$#,##0.00</c:formatCode>
                <c:ptCount val="12"/>
                <c:pt idx="0">
                  <c:v>14936.84</c:v>
                </c:pt>
                <c:pt idx="1">
                  <c:v>11405.949999999999</c:v>
                </c:pt>
                <c:pt idx="2">
                  <c:v>21284.69</c:v>
                </c:pt>
                <c:pt idx="3">
                  <c:v>10327.61</c:v>
                </c:pt>
                <c:pt idx="4">
                  <c:v>29530.82</c:v>
                </c:pt>
                <c:pt idx="5">
                  <c:v>15113.64</c:v>
                </c:pt>
                <c:pt idx="6">
                  <c:v>16346.18</c:v>
                </c:pt>
                <c:pt idx="7">
                  <c:v>18750.080000000002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F1-6548-A919-35CA94750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Product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Units Sold</c:v>
          </c:tx>
          <c:invertIfNegative val="1"/>
          <c:cat>
            <c:strRef>
              <c:f>'Executive Dashboard'!$G$15:$G$22</c:f>
              <c:strCache>
                <c:ptCount val="8"/>
                <c:pt idx="0">
                  <c:v>Laptop Stand</c:v>
                </c:pt>
                <c:pt idx="1">
                  <c:v>Wireless Mouse</c:v>
                </c:pt>
                <c:pt idx="2">
                  <c:v>Mechanical Keyboard</c:v>
                </c:pt>
                <c:pt idx="3">
                  <c:v>USB-C Hub</c:v>
                </c:pt>
                <c:pt idx="4">
                  <c:v>Office Chair</c:v>
                </c:pt>
                <c:pt idx="5">
                  <c:v>Desk Lamp</c:v>
                </c:pt>
                <c:pt idx="6">
                  <c:v>Monitor 24in</c:v>
                </c:pt>
                <c:pt idx="7">
                  <c:v>Webcam HD</c:v>
                </c:pt>
              </c:strCache>
            </c:strRef>
          </c:cat>
          <c:val>
            <c:numRef>
              <c:f>'Executive Dashboard'!$H$15:$H$22</c:f>
              <c:numCache>
                <c:formatCode>General</c:formatCode>
                <c:ptCount val="8"/>
                <c:pt idx="0">
                  <c:v>244</c:v>
                </c:pt>
                <c:pt idx="1">
                  <c:v>253</c:v>
                </c:pt>
                <c:pt idx="2">
                  <c:v>199</c:v>
                </c:pt>
                <c:pt idx="3">
                  <c:v>232</c:v>
                </c:pt>
                <c:pt idx="4">
                  <c:v>244</c:v>
                </c:pt>
                <c:pt idx="5">
                  <c:v>195</c:v>
                </c:pt>
                <c:pt idx="6">
                  <c:v>183</c:v>
                </c:pt>
                <c:pt idx="7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3-A14D-B1DE-B60231074D93}"/>
            </c:ext>
          </c:extLst>
        </c:ser>
        <c:ser>
          <c:idx val="1"/>
          <c:order val="1"/>
          <c:tx>
            <c:v>Revenue</c:v>
          </c:tx>
          <c:invertIfNegative val="1"/>
          <c:cat>
            <c:strRef>
              <c:f>'Executive Dashboard'!$G$15:$G$22</c:f>
              <c:strCache>
                <c:ptCount val="8"/>
                <c:pt idx="0">
                  <c:v>Laptop Stand</c:v>
                </c:pt>
                <c:pt idx="1">
                  <c:v>Wireless Mouse</c:v>
                </c:pt>
                <c:pt idx="2">
                  <c:v>Mechanical Keyboard</c:v>
                </c:pt>
                <c:pt idx="3">
                  <c:v>USB-C Hub</c:v>
                </c:pt>
                <c:pt idx="4">
                  <c:v>Office Chair</c:v>
                </c:pt>
                <c:pt idx="5">
                  <c:v>Desk Lamp</c:v>
                </c:pt>
                <c:pt idx="6">
                  <c:v>Monitor 24in</c:v>
                </c:pt>
                <c:pt idx="7">
                  <c:v>Webcam HD</c:v>
                </c:pt>
              </c:strCache>
            </c:strRef>
          </c:cat>
          <c:val>
            <c:numRef>
              <c:f>'Executive Dashboard'!$I$15:$I$22</c:f>
              <c:numCache>
                <c:formatCode>\$#,##0.00</c:formatCode>
                <c:ptCount val="8"/>
                <c:pt idx="0">
                  <c:v>11583.45</c:v>
                </c:pt>
                <c:pt idx="1">
                  <c:v>10346.66</c:v>
                </c:pt>
                <c:pt idx="2">
                  <c:v>18438.530000000002</c:v>
                </c:pt>
                <c:pt idx="3">
                  <c:v>13620.42</c:v>
                </c:pt>
                <c:pt idx="4">
                  <c:v>65284.61</c:v>
                </c:pt>
                <c:pt idx="5">
                  <c:v>15256.25</c:v>
                </c:pt>
                <c:pt idx="6">
                  <c:v>56519.850000000006</c:v>
                </c:pt>
                <c:pt idx="7">
                  <c:v>23187.040000000001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43-A14D-B1DE-B60231074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zoomScaleNormal="60" zoomScaleSheetLayoutView="100" workbookViewId="0"/>
  </sheetViews>
  <sheetFormatPr defaultRowHeight="15" x14ac:dyDescent="0.2"/>
  <cols>
    <col min="1" max="4" width="14.9296875" customWidth="1"/>
    <col min="5" max="5" width="16.0078125" customWidth="1"/>
    <col min="6" max="6" width="2.95703125" customWidth="1"/>
    <col min="7" max="7" width="20.04296875" customWidth="1"/>
    <col min="8" max="8" width="13.046875" customWidth="1"/>
    <col min="9" max="9" width="16.0078125" customWidth="1"/>
    <col min="10" max="10" width="13.98828125" customWidth="1"/>
    <col min="11" max="11" width="14.9296875" customWidth="1"/>
    <col min="12" max="12" width="2.95703125" customWidth="1"/>
  </cols>
  <sheetData>
    <row r="1" spans="1:12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2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6.1" customHeight="1" x14ac:dyDescent="0.2">
      <c r="A5" s="2" t="s">
        <v>2</v>
      </c>
      <c r="B5" s="3">
        <f>SUM(Sales!$H$4:$H$43)</f>
        <v>214236.81</v>
      </c>
      <c r="C5" s="1"/>
      <c r="D5" s="2" t="s">
        <v>3</v>
      </c>
      <c r="E5" s="3">
        <f>SUM(Sales!$J$4:$J$43)</f>
        <v>137695.81</v>
      </c>
      <c r="F5" s="1"/>
      <c r="G5" s="2" t="s">
        <v>4</v>
      </c>
      <c r="H5" s="3">
        <f>SUMIF(Finance!$C$4:$C$39,"Expense",Finance!$F$4:$F$39)</f>
        <v>50707.200000000012</v>
      </c>
      <c r="I5" s="1"/>
      <c r="J5" s="2" t="s">
        <v>5</v>
      </c>
      <c r="K5" s="3">
        <f>E5-H5</f>
        <v>86988.609999999986</v>
      </c>
      <c r="L5" s="1"/>
    </row>
    <row r="6" spans="1:12" ht="26.1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6.1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6.1" customHeight="1" x14ac:dyDescent="0.2">
      <c r="A8" s="2" t="s">
        <v>6</v>
      </c>
      <c r="B8" s="3">
        <f>SUM(Inventory!$H$4:$H$11)</f>
        <v>233809</v>
      </c>
      <c r="C8" s="1"/>
      <c r="D8" s="2" t="s">
        <v>7</v>
      </c>
      <c r="E8" s="4">
        <f>COUNTIF(Inventory!$F$4:$F$11,"&lt;500")</f>
        <v>1</v>
      </c>
      <c r="F8" s="1"/>
      <c r="G8" s="2" t="s">
        <v>8</v>
      </c>
      <c r="H8" s="4">
        <f>COUNTIF(HR!$H$4:$H$11,"Active")</f>
        <v>8</v>
      </c>
      <c r="I8" s="1"/>
      <c r="J8" s="2" t="s">
        <v>9</v>
      </c>
      <c r="K8" s="5">
        <f>AVERAGE(HR!$G$4:$G$11)</f>
        <v>89</v>
      </c>
      <c r="L8" s="1"/>
    </row>
    <row r="9" spans="1:12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2" t="s">
        <v>10</v>
      </c>
      <c r="B11" s="6">
        <f>IF(B5=0,0,K5/B5)</f>
        <v>0.40603951300432445</v>
      </c>
      <c r="C11" s="1"/>
      <c r="D11" s="2" t="s">
        <v>11</v>
      </c>
      <c r="E11" s="6">
        <f>AVERAGE(HR!$F$4:$F$11)</f>
        <v>0.94500000000000006</v>
      </c>
      <c r="F11" s="1"/>
      <c r="G11" s="2" t="s">
        <v>12</v>
      </c>
      <c r="H11" s="7">
        <f>SUM(Sales!$F$4:$F$43)</f>
        <v>1789</v>
      </c>
      <c r="I11" s="1"/>
      <c r="J11" s="2" t="s">
        <v>13</v>
      </c>
      <c r="K11" s="3">
        <f>SUMIF(Inventory!$F$4:$F$11,"&lt;500",Inventory!$H$4:$H$11)</f>
        <v>33820</v>
      </c>
      <c r="L11" s="1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8" t="s">
        <v>14</v>
      </c>
      <c r="B14" s="8" t="s">
        <v>15</v>
      </c>
      <c r="C14" s="8" t="s">
        <v>3</v>
      </c>
      <c r="D14" s="8" t="s">
        <v>16</v>
      </c>
      <c r="E14" s="8" t="s">
        <v>17</v>
      </c>
      <c r="F14" s="1"/>
      <c r="G14" s="8" t="s">
        <v>18</v>
      </c>
      <c r="H14" s="8" t="s">
        <v>12</v>
      </c>
      <c r="I14" s="8" t="s">
        <v>15</v>
      </c>
      <c r="J14" s="8" t="s">
        <v>19</v>
      </c>
      <c r="K14" s="1"/>
      <c r="L14" s="1"/>
    </row>
    <row r="15" spans="1:12" x14ac:dyDescent="0.2">
      <c r="A15" s="1" t="s">
        <v>20</v>
      </c>
      <c r="B15" s="9">
        <f>SUMIFS(Sales!$H$4:$H$43,Sales!$B$4:$B$43,"&gt;="&amp;DATE(2026,1,1),Sales!$B$4:$B$43,"&lt;"&amp;DATE(2026,2,1))</f>
        <v>22722.84</v>
      </c>
      <c r="C15" s="9">
        <f>SUMIFS(Sales!$J$4:$J$43,Sales!$B$4:$B$43,"&gt;="&amp;DATE(2026,1,1),Sales!$B$4:$B$43,"&lt;"&amp;DATE(2026,2,1))</f>
        <v>14936.84</v>
      </c>
      <c r="D15" s="9">
        <f>SUMIFS(Finance!$F$4:$F$39,Finance!$C$4:$C$39,"Expense",Finance!$B$4:$B$39,"&gt;="&amp;DATE(2026,1,1),Finance!$B$4:$B$39,"&lt;"&amp;DATE(2026,2,1))</f>
        <v>28804</v>
      </c>
      <c r="E15" s="9">
        <f>C15-D15</f>
        <v>-13867.16</v>
      </c>
      <c r="F15" s="1"/>
      <c r="G15" s="1" t="str">
        <f>Inventory!B4</f>
        <v>Laptop Stand</v>
      </c>
      <c r="H15" s="1">
        <f>Inventory!E4</f>
        <v>244</v>
      </c>
      <c r="I15" s="9">
        <f>SUMIF(Sales!$D$4:$D$43,G15,Sales!$H$4:$H$43)</f>
        <v>11583.45</v>
      </c>
      <c r="J15" s="1">
        <f>Inventory!F4</f>
        <v>1256</v>
      </c>
      <c r="K15" s="1"/>
      <c r="L15" s="1"/>
    </row>
    <row r="16" spans="1:12" x14ac:dyDescent="0.2">
      <c r="A16" s="1" t="s">
        <v>21</v>
      </c>
      <c r="B16" s="9">
        <f>SUMIFS(Sales!$H$4:$H$43,Sales!$B$4:$B$43,"&gt;="&amp;DATE(2026,2,1),Sales!$B$4:$B$43,"&lt;"&amp;DATE(2026,3,1))</f>
        <v>18313.95</v>
      </c>
      <c r="C16" s="9">
        <f>SUMIFS(Sales!$J$4:$J$43,Sales!$B$4:$B$43,"&gt;="&amp;DATE(2026,2,1),Sales!$B$4:$B$43,"&lt;"&amp;DATE(2026,3,1))</f>
        <v>11405.949999999999</v>
      </c>
      <c r="D16" s="9">
        <f>SUMIFS(Finance!$F$4:$F$39,Finance!$C$4:$C$39,"Expense",Finance!$B$4:$B$39,"&gt;="&amp;DATE(2026,2,1),Finance!$B$4:$B$39,"&lt;"&amp;DATE(2026,3,1))</f>
        <v>1746.3</v>
      </c>
      <c r="E16" s="9">
        <f>C16-D16</f>
        <v>9659.65</v>
      </c>
      <c r="F16" s="1"/>
      <c r="G16" s="1" t="str">
        <f>Inventory!B5</f>
        <v>Wireless Mouse</v>
      </c>
      <c r="H16" s="1">
        <f>Inventory!E5</f>
        <v>253</v>
      </c>
      <c r="I16" s="9">
        <f>SUMIF(Sales!$D$4:$D$43,G16,Sales!$H$4:$H$43)</f>
        <v>10346.66</v>
      </c>
      <c r="J16" s="1">
        <f>Inventory!F5</f>
        <v>1547</v>
      </c>
      <c r="K16" s="1"/>
      <c r="L16" s="1"/>
    </row>
    <row r="17" spans="1:12" x14ac:dyDescent="0.2">
      <c r="A17" s="1" t="s">
        <v>22</v>
      </c>
      <c r="B17" s="9">
        <f>SUMIFS(Sales!$H$4:$H$43,Sales!$B$4:$B$43,"&gt;="&amp;DATE(2026,3,1),Sales!$B$4:$B$43,"&lt;"&amp;DATE(2026,4,1))</f>
        <v>33325.69</v>
      </c>
      <c r="C17" s="9">
        <f>SUMIFS(Sales!$J$4:$J$43,Sales!$B$4:$B$43,"&gt;="&amp;DATE(2026,3,1),Sales!$B$4:$B$43,"&lt;"&amp;DATE(2026,4,1))</f>
        <v>21284.69</v>
      </c>
      <c r="D17" s="9">
        <f>SUMIFS(Finance!$F$4:$F$39,Finance!$C$4:$C$39,"Expense",Finance!$B$4:$B$39,"&gt;="&amp;DATE(2026,3,1),Finance!$B$4:$B$39,"&lt;"&amp;DATE(2026,4,1))</f>
        <v>4543</v>
      </c>
      <c r="E17" s="9">
        <f>C17-D17</f>
        <v>16741.689999999999</v>
      </c>
      <c r="F17" s="1"/>
      <c r="G17" s="1" t="str">
        <f>Inventory!B6</f>
        <v>Mechanical Keyboard</v>
      </c>
      <c r="H17" s="1">
        <f>Inventory!E6</f>
        <v>199</v>
      </c>
      <c r="I17" s="9">
        <f>SUMIF(Sales!$D$4:$D$43,G17,Sales!$H$4:$H$43)</f>
        <v>18438.530000000002</v>
      </c>
      <c r="J17" s="1">
        <f>Inventory!F6</f>
        <v>1001</v>
      </c>
      <c r="K17" s="1"/>
      <c r="L17" s="1"/>
    </row>
    <row r="18" spans="1:12" x14ac:dyDescent="0.2">
      <c r="A18" s="1" t="s">
        <v>23</v>
      </c>
      <c r="B18" s="9">
        <f>SUMIFS(Sales!$H$4:$H$43,Sales!$B$4:$B$43,"&gt;="&amp;DATE(2026,4,1),Sales!$B$4:$B$43,"&lt;"&amp;DATE(2026,5,1))</f>
        <v>16347.61</v>
      </c>
      <c r="C18" s="9">
        <f>SUMIFS(Sales!$J$4:$J$43,Sales!$B$4:$B$43,"&gt;="&amp;DATE(2026,4,1),Sales!$B$4:$B$43,"&lt;"&amp;DATE(2026,5,1))</f>
        <v>10327.61</v>
      </c>
      <c r="D18" s="9">
        <f>SUMIFS(Finance!$F$4:$F$39,Finance!$C$4:$C$39,"Expense",Finance!$B$4:$B$39,"&gt;="&amp;DATE(2026,4,1),Finance!$B$4:$B$39,"&lt;"&amp;DATE(2026,5,1))</f>
        <v>1746.3</v>
      </c>
      <c r="E18" s="9">
        <f>C18-D18</f>
        <v>8581.3100000000013</v>
      </c>
      <c r="F18" s="1"/>
      <c r="G18" s="1" t="str">
        <f>Inventory!B7</f>
        <v>USB-C Hub</v>
      </c>
      <c r="H18" s="1">
        <f>Inventory!E7</f>
        <v>232</v>
      </c>
      <c r="I18" s="9">
        <f>SUMIF(Sales!$D$4:$D$43,G18,Sales!$H$4:$H$43)</f>
        <v>13620.42</v>
      </c>
      <c r="J18" s="1">
        <f>Inventory!F7</f>
        <v>1168</v>
      </c>
      <c r="K18" s="1"/>
      <c r="L18" s="1"/>
    </row>
    <row r="19" spans="1:12" x14ac:dyDescent="0.2">
      <c r="A19" s="1" t="s">
        <v>24</v>
      </c>
      <c r="B19" s="9">
        <f>SUMIFS(Sales!$H$4:$H$43,Sales!$B$4:$B$43,"&gt;="&amp;DATE(2026,5,1),Sales!$B$4:$B$43,"&lt;"&amp;DATE(2026,6,1))</f>
        <v>44879.82</v>
      </c>
      <c r="C19" s="9">
        <f>SUMIFS(Sales!$J$4:$J$43,Sales!$B$4:$B$43,"&gt;="&amp;DATE(2026,5,1),Sales!$B$4:$B$43,"&lt;"&amp;DATE(2026,6,1))</f>
        <v>29530.82</v>
      </c>
      <c r="D19" s="9">
        <f>SUMIFS(Finance!$F$4:$F$39,Finance!$C$4:$C$39,"Expense",Finance!$B$4:$B$39,"&gt;="&amp;DATE(2026,5,1),Finance!$B$4:$B$39,"&lt;"&amp;DATE(2026,6,1))</f>
        <v>4743</v>
      </c>
      <c r="E19" s="9">
        <f>C19-D19</f>
        <v>24787.82</v>
      </c>
      <c r="F19" s="1"/>
      <c r="G19" s="1" t="str">
        <f>Inventory!B8</f>
        <v>Office Chair</v>
      </c>
      <c r="H19" s="1">
        <f>Inventory!E8</f>
        <v>244</v>
      </c>
      <c r="I19" s="9">
        <f>SUMIF(Sales!$D$4:$D$43,G19,Sales!$H$4:$H$43)</f>
        <v>65284.61</v>
      </c>
      <c r="J19" s="1">
        <f>Inventory!F8</f>
        <v>356</v>
      </c>
      <c r="K19" s="1"/>
      <c r="L19" s="1"/>
    </row>
    <row r="20" spans="1:12" x14ac:dyDescent="0.2">
      <c r="A20" s="1" t="s">
        <v>25</v>
      </c>
      <c r="B20" s="9">
        <f>SUMIFS(Sales!$H$4:$H$43,Sales!$B$4:$B$43,"&gt;="&amp;DATE(2026,6,1),Sales!$B$4:$B$43,"&lt;"&amp;DATE(2026,7,1))</f>
        <v>23723.64</v>
      </c>
      <c r="C20" s="9">
        <f>SUMIFS(Sales!$J$4:$J$43,Sales!$B$4:$B$43,"&gt;="&amp;DATE(2026,6,1),Sales!$B$4:$B$43,"&lt;"&amp;DATE(2026,7,1))</f>
        <v>15113.64</v>
      </c>
      <c r="D20" s="9">
        <f>SUMIFS(Finance!$F$4:$F$39,Finance!$C$4:$C$39,"Expense",Finance!$B$4:$B$39,"&gt;="&amp;DATE(2026,6,1),Finance!$B$4:$B$39,"&lt;"&amp;DATE(2026,7,1))</f>
        <v>1746.3</v>
      </c>
      <c r="E20" s="9">
        <f>C20-D20</f>
        <v>13367.34</v>
      </c>
      <c r="F20" s="1"/>
      <c r="G20" s="1" t="str">
        <f>Inventory!B9</f>
        <v>Desk Lamp</v>
      </c>
      <c r="H20" s="1">
        <f>Inventory!E9</f>
        <v>195</v>
      </c>
      <c r="I20" s="9">
        <f>SUMIF(Sales!$D$4:$D$43,G20,Sales!$H$4:$H$43)</f>
        <v>15256.25</v>
      </c>
      <c r="J20" s="1">
        <f>Inventory!F9</f>
        <v>705</v>
      </c>
      <c r="K20" s="1"/>
      <c r="L20" s="1"/>
    </row>
    <row r="21" spans="1:12" x14ac:dyDescent="0.2">
      <c r="A21" s="1" t="s">
        <v>26</v>
      </c>
      <c r="B21" s="9">
        <f>SUMIFS(Sales!$H$4:$H$43,Sales!$B$4:$B$43,"&gt;="&amp;DATE(2026,7,1),Sales!$B$4:$B$43,"&lt;"&amp;DATE(2026,8,1))</f>
        <v>25613.18</v>
      </c>
      <c r="C21" s="9">
        <f>SUMIFS(Sales!$J$4:$J$43,Sales!$B$4:$B$43,"&gt;="&amp;DATE(2026,7,1),Sales!$B$4:$B$43,"&lt;"&amp;DATE(2026,8,1))</f>
        <v>16346.18</v>
      </c>
      <c r="D21" s="9">
        <f>SUMIFS(Finance!$F$4:$F$39,Finance!$C$4:$C$39,"Expense",Finance!$B$4:$B$39,"&gt;="&amp;DATE(2026,7,1),Finance!$B$4:$B$39,"&lt;"&amp;DATE(2026,8,1))</f>
        <v>4943</v>
      </c>
      <c r="E21" s="9">
        <f>C21-D21</f>
        <v>11403.18</v>
      </c>
      <c r="F21" s="1"/>
      <c r="G21" s="1" t="str">
        <f>Inventory!B10</f>
        <v>Monitor 24in</v>
      </c>
      <c r="H21" s="1">
        <f>Inventory!E10</f>
        <v>183</v>
      </c>
      <c r="I21" s="9">
        <f>SUMIF(Sales!$D$4:$D$43,G21,Sales!$H$4:$H$43)</f>
        <v>56519.850000000006</v>
      </c>
      <c r="J21" s="1">
        <f>Inventory!F10</f>
        <v>517</v>
      </c>
      <c r="K21" s="1"/>
      <c r="L21" s="1"/>
    </row>
    <row r="22" spans="1:12" x14ac:dyDescent="0.2">
      <c r="A22" s="1" t="s">
        <v>27</v>
      </c>
      <c r="B22" s="9">
        <f>SUMIFS(Sales!$H$4:$H$43,Sales!$B$4:$B$43,"&gt;="&amp;DATE(2026,8,1),Sales!$B$4:$B$43,"&lt;"&amp;DATE(2026,9,1))</f>
        <v>29310.080000000002</v>
      </c>
      <c r="C22" s="9">
        <f>SUMIFS(Sales!$J$4:$J$43,Sales!$B$4:$B$43,"&gt;="&amp;DATE(2026,8,1),Sales!$B$4:$B$43,"&lt;"&amp;DATE(2026,9,1))</f>
        <v>18750.080000000002</v>
      </c>
      <c r="D22" s="9">
        <f>SUMIFS(Finance!$F$4:$F$39,Finance!$C$4:$C$39,"Expense",Finance!$B$4:$B$39,"&gt;="&amp;DATE(2026,8,1),Finance!$B$4:$B$39,"&lt;"&amp;DATE(2026,9,1))</f>
        <v>1746.3</v>
      </c>
      <c r="E22" s="9">
        <f>C22-D22</f>
        <v>17003.780000000002</v>
      </c>
      <c r="F22" s="1"/>
      <c r="G22" s="1" t="str">
        <f>Inventory!B11</f>
        <v>Webcam HD</v>
      </c>
      <c r="H22" s="1">
        <f>Inventory!E11</f>
        <v>239</v>
      </c>
      <c r="I22" s="9">
        <f>SUMIF(Sales!$D$4:$D$43,G22,Sales!$H$4:$H$43)</f>
        <v>23187.040000000001</v>
      </c>
      <c r="J22" s="1">
        <f>Inventory!F11</f>
        <v>611</v>
      </c>
      <c r="K22" s="1"/>
      <c r="L22" s="1"/>
    </row>
    <row r="23" spans="1:12" x14ac:dyDescent="0.2">
      <c r="A23" s="1" t="s">
        <v>28</v>
      </c>
      <c r="B23" s="9">
        <f>SUMIFS(Sales!$H$4:$H$43,Sales!$B$4:$B$43,"&gt;="&amp;DATE(2026,9,1),Sales!$B$4:$B$43,"&lt;"&amp;DATE(2026,10,1))</f>
        <v>0</v>
      </c>
      <c r="C23" s="9">
        <f>SUMIFS(Sales!$J$4:$J$43,Sales!$B$4:$B$43,"&gt;="&amp;DATE(2026,9,1),Sales!$B$4:$B$43,"&lt;"&amp;DATE(2026,10,1))</f>
        <v>0</v>
      </c>
      <c r="D23" s="9">
        <f>SUMIFS(Finance!$F$4:$F$39,Finance!$C$4:$C$39,"Expense",Finance!$B$4:$B$39,"&gt;="&amp;DATE(2026,9,1),Finance!$B$4:$B$39,"&lt;"&amp;DATE(2026,10,1))</f>
        <v>689</v>
      </c>
      <c r="E23" s="9">
        <f>C23-D23</f>
        <v>-689</v>
      </c>
      <c r="F23" s="1"/>
      <c r="G23" s="1"/>
      <c r="H23" s="1"/>
      <c r="I23" s="1"/>
      <c r="J23" s="1"/>
      <c r="K23" s="1"/>
      <c r="L23" s="1"/>
    </row>
    <row r="24" spans="1:12" x14ac:dyDescent="0.2">
      <c r="A24" s="1" t="s">
        <v>29</v>
      </c>
      <c r="B24" s="9">
        <f>SUMIFS(Sales!$H$4:$H$43,Sales!$B$4:$B$43,"&gt;="&amp;DATE(2026,10,1),Sales!$B$4:$B$43,"&lt;"&amp;DATE(2026,11,1))</f>
        <v>0</v>
      </c>
      <c r="C24" s="9">
        <f>SUMIFS(Sales!$J$4:$J$43,Sales!$B$4:$B$43,"&gt;="&amp;DATE(2026,10,1),Sales!$B$4:$B$43,"&lt;"&amp;DATE(2026,11,1))</f>
        <v>0</v>
      </c>
      <c r="D24" s="9">
        <f>SUMIFS(Finance!$F$4:$F$39,Finance!$C$4:$C$39,"Expense",Finance!$B$4:$B$39,"&gt;="&amp;DATE(2026,10,1),Finance!$B$4:$B$39,"&lt;"&amp;DATE(2026,11,1))</f>
        <v>0</v>
      </c>
      <c r="E24" s="9">
        <f>C24-D24</f>
        <v>0</v>
      </c>
      <c r="F24" s="1"/>
      <c r="G24" s="1"/>
      <c r="H24" s="1"/>
      <c r="I24" s="1"/>
      <c r="J24" s="1"/>
      <c r="K24" s="1"/>
      <c r="L24" s="1"/>
    </row>
    <row r="25" spans="1:12" x14ac:dyDescent="0.2">
      <c r="A25" s="1" t="s">
        <v>30</v>
      </c>
      <c r="B25" s="9">
        <f>SUMIFS(Sales!$H$4:$H$43,Sales!$B$4:$B$43,"&gt;="&amp;DATE(2026,11,1),Sales!$B$4:$B$43,"&lt;"&amp;DATE(2026,12,1))</f>
        <v>0</v>
      </c>
      <c r="C25" s="9">
        <f>SUMIFS(Sales!$J$4:$J$43,Sales!$B$4:$B$43,"&gt;="&amp;DATE(2026,11,1),Sales!$B$4:$B$43,"&lt;"&amp;DATE(2026,12,1))</f>
        <v>0</v>
      </c>
      <c r="D25" s="9">
        <f>SUMIFS(Finance!$F$4:$F$39,Finance!$C$4:$C$39,"Expense",Finance!$B$4:$B$39,"&gt;="&amp;DATE(2026,11,1),Finance!$B$4:$B$39,"&lt;"&amp;DATE(2026,12,1))</f>
        <v>0</v>
      </c>
      <c r="E25" s="9">
        <f>C25-D25</f>
        <v>0</v>
      </c>
      <c r="F25" s="1"/>
      <c r="G25" s="1"/>
      <c r="H25" s="1"/>
      <c r="I25" s="1"/>
      <c r="J25" s="1"/>
      <c r="K25" s="1"/>
      <c r="L25" s="1"/>
    </row>
    <row r="26" spans="1:12" x14ac:dyDescent="0.2">
      <c r="A26" s="1" t="s">
        <v>31</v>
      </c>
      <c r="B26" s="9">
        <f>SUMIFS(Sales!$H$4:$H$43,Sales!$B$4:$B$43,"&gt;="&amp;DATE(2026,12,1),Sales!$B$4:$B$43,"&lt;"&amp;DATE(2027,1,1))</f>
        <v>0</v>
      </c>
      <c r="C26" s="9">
        <f>SUMIFS(Sales!$J$4:$J$43,Sales!$B$4:$B$43,"&gt;="&amp;DATE(2026,12,1),Sales!$B$4:$B$43,"&lt;"&amp;DATE(2027,1,1))</f>
        <v>0</v>
      </c>
      <c r="D26" s="9">
        <f>SUMIFS(Finance!$F$4:$F$39,Finance!$C$4:$C$39,"Expense",Finance!$B$4:$B$39,"&gt;="&amp;DATE(2026,12,1),Finance!$B$4:$B$39,"&lt;"&amp;DATE(2027,1,1))</f>
        <v>0</v>
      </c>
      <c r="E26" s="9">
        <f>C26-D26</f>
        <v>0</v>
      </c>
      <c r="F26" s="1"/>
      <c r="G26" s="1"/>
      <c r="H26" s="1"/>
      <c r="I26" s="1"/>
      <c r="J26" s="1"/>
      <c r="K26" s="1"/>
      <c r="L26" s="1"/>
    </row>
    <row r="27" spans="1:1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2">
    <mergeCell ref="A1:L2"/>
    <mergeCell ref="A3:L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zoomScaleNormal="60" zoomScaleSheetLayoutView="100" workbookViewId="0"/>
  </sheetViews>
  <sheetFormatPr defaultRowHeight="15" x14ac:dyDescent="0.2"/>
  <cols>
    <col min="1" max="1" width="13.046875" customWidth="1"/>
    <col min="2" max="2" width="11.97265625" customWidth="1"/>
    <col min="3" max="3" width="11.02734375" customWidth="1"/>
    <col min="4" max="4" width="22.05859375" customWidth="1"/>
    <col min="5" max="5" width="14.9296875" customWidth="1"/>
    <col min="6" max="6" width="9.01171875" customWidth="1"/>
    <col min="7" max="7" width="11.97265625" customWidth="1"/>
    <col min="8" max="10" width="13.98828125" customWidth="1"/>
  </cols>
  <sheetData>
    <row r="1" spans="1:12" ht="22.5" x14ac:dyDescent="0.2">
      <c r="A1" s="19" t="s">
        <v>32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8" t="s">
        <v>33</v>
      </c>
      <c r="B3" s="8" t="s">
        <v>34</v>
      </c>
      <c r="C3" s="8" t="s">
        <v>35</v>
      </c>
      <c r="D3" s="8" t="s">
        <v>18</v>
      </c>
      <c r="E3" s="8" t="s">
        <v>36</v>
      </c>
      <c r="F3" s="8" t="s">
        <v>37</v>
      </c>
      <c r="G3" s="8" t="s">
        <v>38</v>
      </c>
      <c r="H3" s="8" t="s">
        <v>15</v>
      </c>
      <c r="I3" s="8" t="s">
        <v>39</v>
      </c>
      <c r="J3" s="8" t="s">
        <v>3</v>
      </c>
      <c r="K3" s="1"/>
      <c r="L3" s="1"/>
    </row>
    <row r="4" spans="1:12" x14ac:dyDescent="0.2">
      <c r="A4" s="1" t="s">
        <v>40</v>
      </c>
      <c r="B4" s="10">
        <v>46027</v>
      </c>
      <c r="C4" s="1" t="s">
        <v>41</v>
      </c>
      <c r="D4" s="1" t="s">
        <v>42</v>
      </c>
      <c r="E4" s="1" t="s">
        <v>43</v>
      </c>
      <c r="F4" s="11">
        <v>28</v>
      </c>
      <c r="G4" s="9">
        <v>46.26</v>
      </c>
      <c r="H4" s="9">
        <f>F4*G4</f>
        <v>1295.28</v>
      </c>
      <c r="I4" s="9">
        <f>F4*VLOOKUP(C4,Inventory!$A$4:$G$11,7,FALSE)</f>
        <v>504</v>
      </c>
      <c r="J4" s="9">
        <f>H4-I4</f>
        <v>791.28</v>
      </c>
      <c r="K4" s="1"/>
      <c r="L4" s="1"/>
    </row>
    <row r="5" spans="1:12" x14ac:dyDescent="0.2">
      <c r="A5" s="1" t="s">
        <v>44</v>
      </c>
      <c r="B5" s="10">
        <v>46033</v>
      </c>
      <c r="C5" s="1" t="s">
        <v>45</v>
      </c>
      <c r="D5" s="1" t="s">
        <v>46</v>
      </c>
      <c r="E5" s="1" t="s">
        <v>47</v>
      </c>
      <c r="F5" s="11">
        <v>59</v>
      </c>
      <c r="G5" s="9">
        <v>43.39</v>
      </c>
      <c r="H5" s="9">
        <f>F5*G5</f>
        <v>2560.0100000000002</v>
      </c>
      <c r="I5" s="9">
        <f>F5*VLOOKUP(C5,Inventory!$A$4:$G$11,7,FALSE)</f>
        <v>826</v>
      </c>
      <c r="J5" s="9">
        <f>H5-I5</f>
        <v>1734.0100000000002</v>
      </c>
      <c r="K5" s="1"/>
      <c r="L5" s="1"/>
    </row>
    <row r="6" spans="1:12" x14ac:dyDescent="0.2">
      <c r="A6" s="1" t="s">
        <v>48</v>
      </c>
      <c r="B6" s="10">
        <v>46039</v>
      </c>
      <c r="C6" s="1" t="s">
        <v>49</v>
      </c>
      <c r="D6" s="1" t="s">
        <v>50</v>
      </c>
      <c r="E6" s="1" t="s">
        <v>51</v>
      </c>
      <c r="F6" s="11">
        <v>31</v>
      </c>
      <c r="G6" s="9">
        <v>92.52</v>
      </c>
      <c r="H6" s="9">
        <f>F6*G6</f>
        <v>2868.12</v>
      </c>
      <c r="I6" s="9">
        <f>F6*VLOOKUP(C6,Inventory!$A$4:$G$11,7,FALSE)</f>
        <v>992</v>
      </c>
      <c r="J6" s="9">
        <f>H6-I6</f>
        <v>1876.12</v>
      </c>
      <c r="K6" s="1"/>
      <c r="L6" s="1"/>
    </row>
    <row r="7" spans="1:12" x14ac:dyDescent="0.2">
      <c r="A7" s="1" t="s">
        <v>52</v>
      </c>
      <c r="B7" s="10">
        <v>46045</v>
      </c>
      <c r="C7" s="1" t="s">
        <v>53</v>
      </c>
      <c r="D7" s="1" t="s">
        <v>54</v>
      </c>
      <c r="E7" s="1" t="s">
        <v>55</v>
      </c>
      <c r="F7" s="11">
        <v>67</v>
      </c>
      <c r="G7" s="9">
        <v>62.83</v>
      </c>
      <c r="H7" s="9">
        <f>F7*G7</f>
        <v>4209.6099999999997</v>
      </c>
      <c r="I7" s="9">
        <f>F7*VLOOKUP(C7,Inventory!$A$4:$G$11,7,FALSE)</f>
        <v>1474</v>
      </c>
      <c r="J7" s="9">
        <f>H7-I7</f>
        <v>2735.6099999999997</v>
      </c>
      <c r="K7" s="1"/>
      <c r="L7" s="1"/>
    </row>
    <row r="8" spans="1:12" x14ac:dyDescent="0.2">
      <c r="A8" s="1" t="s">
        <v>56</v>
      </c>
      <c r="B8" s="10">
        <v>46051</v>
      </c>
      <c r="C8" s="1" t="s">
        <v>57</v>
      </c>
      <c r="D8" s="1" t="s">
        <v>58</v>
      </c>
      <c r="E8" s="1" t="s">
        <v>43</v>
      </c>
      <c r="F8" s="11">
        <v>42</v>
      </c>
      <c r="G8" s="9">
        <v>280.70999999999998</v>
      </c>
      <c r="H8" s="9">
        <f>F8*G8</f>
        <v>11789.82</v>
      </c>
      <c r="I8" s="9">
        <f>F8*VLOOKUP(C8,Inventory!$A$4:$G$11,7,FALSE)</f>
        <v>3990</v>
      </c>
      <c r="J8" s="9">
        <f>H8-I8</f>
        <v>7799.82</v>
      </c>
      <c r="K8" s="1"/>
      <c r="L8" s="1"/>
    </row>
    <row r="9" spans="1:12" x14ac:dyDescent="0.2">
      <c r="A9" s="1" t="s">
        <v>59</v>
      </c>
      <c r="B9" s="10">
        <v>46057</v>
      </c>
      <c r="C9" s="1" t="s">
        <v>60</v>
      </c>
      <c r="D9" s="1" t="s">
        <v>61</v>
      </c>
      <c r="E9" s="1" t="s">
        <v>47</v>
      </c>
      <c r="F9" s="11">
        <v>25</v>
      </c>
      <c r="G9" s="9">
        <v>71.739999999999995</v>
      </c>
      <c r="H9" s="9">
        <f>F9*G9</f>
        <v>1793.4999999999998</v>
      </c>
      <c r="I9" s="9">
        <f>F9*VLOOKUP(C9,Inventory!$A$4:$G$11,7,FALSE)</f>
        <v>700</v>
      </c>
      <c r="J9" s="9">
        <f>H9-I9</f>
        <v>1093.4999999999998</v>
      </c>
      <c r="K9" s="1"/>
      <c r="L9" s="1"/>
    </row>
    <row r="10" spans="1:12" x14ac:dyDescent="0.2">
      <c r="A10" s="1" t="s">
        <v>62</v>
      </c>
      <c r="B10" s="10">
        <v>46063</v>
      </c>
      <c r="C10" s="1" t="s">
        <v>63</v>
      </c>
      <c r="D10" s="1" t="s">
        <v>64</v>
      </c>
      <c r="E10" s="1" t="s">
        <v>51</v>
      </c>
      <c r="F10" s="11">
        <v>23</v>
      </c>
      <c r="G10" s="9">
        <v>288.60000000000002</v>
      </c>
      <c r="H10" s="9">
        <f>F10*G10</f>
        <v>6637.8</v>
      </c>
      <c r="I10" s="9">
        <f>F10*VLOOKUP(C10,Inventory!$A$4:$G$11,7,FALSE)</f>
        <v>2530</v>
      </c>
      <c r="J10" s="9">
        <f>H10-I10</f>
        <v>4107.8</v>
      </c>
      <c r="K10" s="1"/>
      <c r="L10" s="1"/>
    </row>
    <row r="11" spans="1:12" x14ac:dyDescent="0.2">
      <c r="A11" s="1" t="s">
        <v>65</v>
      </c>
      <c r="B11" s="10">
        <v>46069</v>
      </c>
      <c r="C11" s="1" t="s">
        <v>66</v>
      </c>
      <c r="D11" s="1" t="s">
        <v>67</v>
      </c>
      <c r="E11" s="1" t="s">
        <v>55</v>
      </c>
      <c r="F11" s="11">
        <v>58</v>
      </c>
      <c r="G11" s="9">
        <v>88.39</v>
      </c>
      <c r="H11" s="9">
        <f>F11*G11</f>
        <v>5126.62</v>
      </c>
      <c r="I11" s="9">
        <f>F11*VLOOKUP(C11,Inventory!$A$4:$G$11,7,FALSE)</f>
        <v>2030</v>
      </c>
      <c r="J11" s="9">
        <f>H11-I11</f>
        <v>3096.62</v>
      </c>
      <c r="K11" s="1"/>
      <c r="L11" s="1"/>
    </row>
    <row r="12" spans="1:12" x14ac:dyDescent="0.2">
      <c r="A12" s="1" t="s">
        <v>68</v>
      </c>
      <c r="B12" s="10">
        <v>46075</v>
      </c>
      <c r="C12" s="1" t="s">
        <v>41</v>
      </c>
      <c r="D12" s="1" t="s">
        <v>42</v>
      </c>
      <c r="E12" s="1" t="s">
        <v>43</v>
      </c>
      <c r="F12" s="11">
        <v>55</v>
      </c>
      <c r="G12" s="9">
        <v>51.83</v>
      </c>
      <c r="H12" s="9">
        <f>F12*G12</f>
        <v>2850.65</v>
      </c>
      <c r="I12" s="9">
        <f>F12*VLOOKUP(C12,Inventory!$A$4:$G$11,7,FALSE)</f>
        <v>990</v>
      </c>
      <c r="J12" s="9">
        <f>H12-I12</f>
        <v>1860.65</v>
      </c>
      <c r="K12" s="1"/>
      <c r="L12" s="1"/>
    </row>
    <row r="13" spans="1:12" x14ac:dyDescent="0.2">
      <c r="A13" s="1" t="s">
        <v>69</v>
      </c>
      <c r="B13" s="10">
        <v>46081</v>
      </c>
      <c r="C13" s="1" t="s">
        <v>45</v>
      </c>
      <c r="D13" s="1" t="s">
        <v>46</v>
      </c>
      <c r="E13" s="1" t="s">
        <v>47</v>
      </c>
      <c r="F13" s="11">
        <v>47</v>
      </c>
      <c r="G13" s="9">
        <v>40.54</v>
      </c>
      <c r="H13" s="9">
        <f>F13*G13</f>
        <v>1905.3799999999999</v>
      </c>
      <c r="I13" s="9">
        <f>F13*VLOOKUP(C13,Inventory!$A$4:$G$11,7,FALSE)</f>
        <v>658</v>
      </c>
      <c r="J13" s="9">
        <f>H13-I13</f>
        <v>1247.3799999999999</v>
      </c>
      <c r="K13" s="1"/>
      <c r="L13" s="1"/>
    </row>
    <row r="14" spans="1:12" x14ac:dyDescent="0.2">
      <c r="A14" s="1" t="s">
        <v>70</v>
      </c>
      <c r="B14" s="10">
        <v>46087</v>
      </c>
      <c r="C14" s="1" t="s">
        <v>49</v>
      </c>
      <c r="D14" s="1" t="s">
        <v>50</v>
      </c>
      <c r="E14" s="1" t="s">
        <v>51</v>
      </c>
      <c r="F14" s="11">
        <v>23</v>
      </c>
      <c r="G14" s="9">
        <v>89.73</v>
      </c>
      <c r="H14" s="9">
        <f>F14*G14</f>
        <v>2063.79</v>
      </c>
      <c r="I14" s="9">
        <f>F14*VLOOKUP(C14,Inventory!$A$4:$G$11,7,FALSE)</f>
        <v>736</v>
      </c>
      <c r="J14" s="9">
        <f>H14-I14</f>
        <v>1327.79</v>
      </c>
      <c r="K14" s="1"/>
      <c r="L14" s="1"/>
    </row>
    <row r="15" spans="1:12" x14ac:dyDescent="0.2">
      <c r="A15" s="1" t="s">
        <v>71</v>
      </c>
      <c r="B15" s="10">
        <v>46093</v>
      </c>
      <c r="C15" s="1" t="s">
        <v>53</v>
      </c>
      <c r="D15" s="1" t="s">
        <v>54</v>
      </c>
      <c r="E15" s="1" t="s">
        <v>55</v>
      </c>
      <c r="F15" s="11">
        <v>21</v>
      </c>
      <c r="G15" s="9">
        <v>61.88</v>
      </c>
      <c r="H15" s="9">
        <f>F15*G15</f>
        <v>1299.48</v>
      </c>
      <c r="I15" s="9">
        <f>F15*VLOOKUP(C15,Inventory!$A$4:$G$11,7,FALSE)</f>
        <v>462</v>
      </c>
      <c r="J15" s="9">
        <f>H15-I15</f>
        <v>837.48</v>
      </c>
      <c r="K15" s="1"/>
      <c r="L15" s="1"/>
    </row>
    <row r="16" spans="1:12" x14ac:dyDescent="0.2">
      <c r="A16" s="1" t="s">
        <v>72</v>
      </c>
      <c r="B16" s="10">
        <v>46099</v>
      </c>
      <c r="C16" s="1" t="s">
        <v>57</v>
      </c>
      <c r="D16" s="1" t="s">
        <v>58</v>
      </c>
      <c r="E16" s="1" t="s">
        <v>43</v>
      </c>
      <c r="F16" s="11">
        <v>39</v>
      </c>
      <c r="G16" s="9">
        <v>256.02999999999997</v>
      </c>
      <c r="H16" s="9">
        <f>F16*G16</f>
        <v>9985.1699999999983</v>
      </c>
      <c r="I16" s="9">
        <f>F16*VLOOKUP(C16,Inventory!$A$4:$G$11,7,FALSE)</f>
        <v>3705</v>
      </c>
      <c r="J16" s="9">
        <f>H16-I16</f>
        <v>6280.1699999999983</v>
      </c>
      <c r="K16" s="1"/>
      <c r="L16" s="1"/>
    </row>
    <row r="17" spans="1:12" x14ac:dyDescent="0.2">
      <c r="A17" s="1" t="s">
        <v>73</v>
      </c>
      <c r="B17" s="10">
        <v>46105</v>
      </c>
      <c r="C17" s="1" t="s">
        <v>60</v>
      </c>
      <c r="D17" s="1" t="s">
        <v>61</v>
      </c>
      <c r="E17" s="1" t="s">
        <v>47</v>
      </c>
      <c r="F17" s="11">
        <v>31</v>
      </c>
      <c r="G17" s="9">
        <v>83.86</v>
      </c>
      <c r="H17" s="9">
        <f>F17*G17</f>
        <v>2599.66</v>
      </c>
      <c r="I17" s="9">
        <f>F17*VLOOKUP(C17,Inventory!$A$4:$G$11,7,FALSE)</f>
        <v>868</v>
      </c>
      <c r="J17" s="9">
        <f>H17-I17</f>
        <v>1731.6599999999999</v>
      </c>
      <c r="K17" s="1"/>
      <c r="L17" s="1"/>
    </row>
    <row r="18" spans="1:12" x14ac:dyDescent="0.2">
      <c r="A18" s="1" t="s">
        <v>74</v>
      </c>
      <c r="B18" s="10">
        <v>46111</v>
      </c>
      <c r="C18" s="1" t="s">
        <v>63</v>
      </c>
      <c r="D18" s="1" t="s">
        <v>64</v>
      </c>
      <c r="E18" s="1" t="s">
        <v>51</v>
      </c>
      <c r="F18" s="11">
        <v>57</v>
      </c>
      <c r="G18" s="9">
        <v>304.87</v>
      </c>
      <c r="H18" s="9">
        <f>F18*G18</f>
        <v>17377.59</v>
      </c>
      <c r="I18" s="9">
        <f>F18*VLOOKUP(C18,Inventory!$A$4:$G$11,7,FALSE)</f>
        <v>6270</v>
      </c>
      <c r="J18" s="9">
        <f>H18-I18</f>
        <v>11107.59</v>
      </c>
      <c r="K18" s="1"/>
      <c r="L18" s="1"/>
    </row>
    <row r="19" spans="1:12" x14ac:dyDescent="0.2">
      <c r="A19" s="1" t="s">
        <v>75</v>
      </c>
      <c r="B19" s="10">
        <v>46117</v>
      </c>
      <c r="C19" s="1" t="s">
        <v>66</v>
      </c>
      <c r="D19" s="1" t="s">
        <v>67</v>
      </c>
      <c r="E19" s="1" t="s">
        <v>55</v>
      </c>
      <c r="F19" s="11">
        <v>66</v>
      </c>
      <c r="G19" s="9">
        <v>102.96</v>
      </c>
      <c r="H19" s="9">
        <f>F19*G19</f>
        <v>6795.36</v>
      </c>
      <c r="I19" s="9">
        <f>F19*VLOOKUP(C19,Inventory!$A$4:$G$11,7,FALSE)</f>
        <v>2310</v>
      </c>
      <c r="J19" s="9">
        <f>H19-I19</f>
        <v>4485.3599999999997</v>
      </c>
      <c r="K19" s="1"/>
      <c r="L19" s="1"/>
    </row>
    <row r="20" spans="1:12" x14ac:dyDescent="0.2">
      <c r="A20" s="1" t="s">
        <v>76</v>
      </c>
      <c r="B20" s="10">
        <v>46123</v>
      </c>
      <c r="C20" s="1" t="s">
        <v>41</v>
      </c>
      <c r="D20" s="1" t="s">
        <v>42</v>
      </c>
      <c r="E20" s="1" t="s">
        <v>43</v>
      </c>
      <c r="F20" s="11">
        <v>56</v>
      </c>
      <c r="G20" s="9">
        <v>43.97</v>
      </c>
      <c r="H20" s="9">
        <f>F20*G20</f>
        <v>2462.3199999999997</v>
      </c>
      <c r="I20" s="9">
        <f>F20*VLOOKUP(C20,Inventory!$A$4:$G$11,7,FALSE)</f>
        <v>1008</v>
      </c>
      <c r="J20" s="9">
        <f>H20-I20</f>
        <v>1454.3199999999997</v>
      </c>
      <c r="K20" s="1"/>
      <c r="L20" s="1"/>
    </row>
    <row r="21" spans="1:12" x14ac:dyDescent="0.2">
      <c r="A21" s="1" t="s">
        <v>77</v>
      </c>
      <c r="B21" s="10">
        <v>46129</v>
      </c>
      <c r="C21" s="1" t="s">
        <v>45</v>
      </c>
      <c r="D21" s="1" t="s">
        <v>46</v>
      </c>
      <c r="E21" s="1" t="s">
        <v>47</v>
      </c>
      <c r="F21" s="11">
        <v>40</v>
      </c>
      <c r="G21" s="9">
        <v>39.6</v>
      </c>
      <c r="H21" s="9">
        <f>F21*G21</f>
        <v>1584</v>
      </c>
      <c r="I21" s="9">
        <f>F21*VLOOKUP(C21,Inventory!$A$4:$G$11,7,FALSE)</f>
        <v>560</v>
      </c>
      <c r="J21" s="9">
        <f>H21-I21</f>
        <v>1024</v>
      </c>
      <c r="K21" s="1"/>
      <c r="L21" s="1"/>
    </row>
    <row r="22" spans="1:12" x14ac:dyDescent="0.2">
      <c r="A22" s="1" t="s">
        <v>78</v>
      </c>
      <c r="B22" s="10">
        <v>46135</v>
      </c>
      <c r="C22" s="1" t="s">
        <v>49</v>
      </c>
      <c r="D22" s="1" t="s">
        <v>50</v>
      </c>
      <c r="E22" s="1" t="s">
        <v>51</v>
      </c>
      <c r="F22" s="11">
        <v>36</v>
      </c>
      <c r="G22" s="9">
        <v>80.930000000000007</v>
      </c>
      <c r="H22" s="9">
        <f>F22*G22</f>
        <v>2913.4800000000005</v>
      </c>
      <c r="I22" s="9">
        <f>F22*VLOOKUP(C22,Inventory!$A$4:$G$11,7,FALSE)</f>
        <v>1152</v>
      </c>
      <c r="J22" s="9">
        <f>H22-I22</f>
        <v>1761.4800000000005</v>
      </c>
      <c r="K22" s="1"/>
      <c r="L22" s="1"/>
    </row>
    <row r="23" spans="1:12" x14ac:dyDescent="0.2">
      <c r="A23" s="1" t="s">
        <v>79</v>
      </c>
      <c r="B23" s="10">
        <v>46141</v>
      </c>
      <c r="C23" s="1" t="s">
        <v>53</v>
      </c>
      <c r="D23" s="1" t="s">
        <v>54</v>
      </c>
      <c r="E23" s="1" t="s">
        <v>55</v>
      </c>
      <c r="F23" s="11">
        <v>45</v>
      </c>
      <c r="G23" s="9">
        <v>57.61</v>
      </c>
      <c r="H23" s="9">
        <f>F23*G23</f>
        <v>2592.4499999999998</v>
      </c>
      <c r="I23" s="9">
        <f>F23*VLOOKUP(C23,Inventory!$A$4:$G$11,7,FALSE)</f>
        <v>990</v>
      </c>
      <c r="J23" s="9">
        <f>H23-I23</f>
        <v>1602.4499999999998</v>
      </c>
      <c r="K23" s="1"/>
      <c r="L23" s="1"/>
    </row>
    <row r="24" spans="1:12" x14ac:dyDescent="0.2">
      <c r="A24" s="1" t="s">
        <v>80</v>
      </c>
      <c r="B24" s="10">
        <v>46147</v>
      </c>
      <c r="C24" s="1" t="s">
        <v>57</v>
      </c>
      <c r="D24" s="1" t="s">
        <v>58</v>
      </c>
      <c r="E24" s="1" t="s">
        <v>43</v>
      </c>
      <c r="F24" s="11">
        <v>69</v>
      </c>
      <c r="G24" s="9">
        <v>285.89999999999998</v>
      </c>
      <c r="H24" s="9">
        <f>F24*G24</f>
        <v>19727.099999999999</v>
      </c>
      <c r="I24" s="9">
        <f>F24*VLOOKUP(C24,Inventory!$A$4:$G$11,7,FALSE)</f>
        <v>6555</v>
      </c>
      <c r="J24" s="9">
        <f>H24-I24</f>
        <v>13172.099999999999</v>
      </c>
      <c r="K24" s="1"/>
      <c r="L24" s="1"/>
    </row>
    <row r="25" spans="1:12" x14ac:dyDescent="0.2">
      <c r="A25" s="1" t="s">
        <v>81</v>
      </c>
      <c r="B25" s="10">
        <v>46153</v>
      </c>
      <c r="C25" s="1" t="s">
        <v>60</v>
      </c>
      <c r="D25" s="1" t="s">
        <v>61</v>
      </c>
      <c r="E25" s="1" t="s">
        <v>47</v>
      </c>
      <c r="F25" s="11">
        <v>61</v>
      </c>
      <c r="G25" s="9">
        <v>77.3</v>
      </c>
      <c r="H25" s="9">
        <f>F25*G25</f>
        <v>4715.3</v>
      </c>
      <c r="I25" s="9">
        <f>F25*VLOOKUP(C25,Inventory!$A$4:$G$11,7,FALSE)</f>
        <v>1708</v>
      </c>
      <c r="J25" s="9">
        <f>H25-I25</f>
        <v>3007.3</v>
      </c>
      <c r="K25" s="1"/>
      <c r="L25" s="1"/>
    </row>
    <row r="26" spans="1:12" x14ac:dyDescent="0.2">
      <c r="A26" s="1" t="s">
        <v>82</v>
      </c>
      <c r="B26" s="10">
        <v>46159</v>
      </c>
      <c r="C26" s="1" t="s">
        <v>63</v>
      </c>
      <c r="D26" s="1" t="s">
        <v>64</v>
      </c>
      <c r="E26" s="1" t="s">
        <v>51</v>
      </c>
      <c r="F26" s="11">
        <v>37</v>
      </c>
      <c r="G26" s="9">
        <v>327.54000000000002</v>
      </c>
      <c r="H26" s="9">
        <f>F26*G26</f>
        <v>12118.980000000001</v>
      </c>
      <c r="I26" s="9">
        <f>F26*VLOOKUP(C26,Inventory!$A$4:$G$11,7,FALSE)</f>
        <v>4070</v>
      </c>
      <c r="J26" s="9">
        <f>H26-I26</f>
        <v>8048.9800000000014</v>
      </c>
      <c r="K26" s="1"/>
      <c r="L26" s="1"/>
    </row>
    <row r="27" spans="1:12" x14ac:dyDescent="0.2">
      <c r="A27" s="1" t="s">
        <v>83</v>
      </c>
      <c r="B27" s="10">
        <v>46165</v>
      </c>
      <c r="C27" s="1" t="s">
        <v>66</v>
      </c>
      <c r="D27" s="1" t="s">
        <v>67</v>
      </c>
      <c r="E27" s="1" t="s">
        <v>55</v>
      </c>
      <c r="F27" s="11">
        <v>62</v>
      </c>
      <c r="G27" s="9">
        <v>100.95</v>
      </c>
      <c r="H27" s="9">
        <f>F27*G27</f>
        <v>6258.9000000000005</v>
      </c>
      <c r="I27" s="9">
        <f>F27*VLOOKUP(C27,Inventory!$A$4:$G$11,7,FALSE)</f>
        <v>2170</v>
      </c>
      <c r="J27" s="9">
        <f>H27-I27</f>
        <v>4088.9000000000005</v>
      </c>
      <c r="K27" s="1"/>
      <c r="L27" s="1"/>
    </row>
    <row r="28" spans="1:12" x14ac:dyDescent="0.2">
      <c r="A28" s="1" t="s">
        <v>84</v>
      </c>
      <c r="B28" s="10">
        <v>46171</v>
      </c>
      <c r="C28" s="1" t="s">
        <v>41</v>
      </c>
      <c r="D28" s="1" t="s">
        <v>42</v>
      </c>
      <c r="E28" s="1" t="s">
        <v>43</v>
      </c>
      <c r="F28" s="11">
        <v>47</v>
      </c>
      <c r="G28" s="9">
        <v>43.82</v>
      </c>
      <c r="H28" s="9">
        <f>F28*G28</f>
        <v>2059.54</v>
      </c>
      <c r="I28" s="9">
        <f>F28*VLOOKUP(C28,Inventory!$A$4:$G$11,7,FALSE)</f>
        <v>846</v>
      </c>
      <c r="J28" s="9">
        <f>H28-I28</f>
        <v>1213.54</v>
      </c>
      <c r="K28" s="1"/>
      <c r="L28" s="1"/>
    </row>
    <row r="29" spans="1:12" x14ac:dyDescent="0.2">
      <c r="A29" s="1" t="s">
        <v>85</v>
      </c>
      <c r="B29" s="10">
        <v>46177</v>
      </c>
      <c r="C29" s="1" t="s">
        <v>45</v>
      </c>
      <c r="D29" s="1" t="s">
        <v>46</v>
      </c>
      <c r="E29" s="1" t="s">
        <v>47</v>
      </c>
      <c r="F29" s="11">
        <v>54</v>
      </c>
      <c r="G29" s="9">
        <v>42.43</v>
      </c>
      <c r="H29" s="9">
        <f>F29*G29</f>
        <v>2291.2199999999998</v>
      </c>
      <c r="I29" s="9">
        <f>F29*VLOOKUP(C29,Inventory!$A$4:$G$11,7,FALSE)</f>
        <v>756</v>
      </c>
      <c r="J29" s="9">
        <f>H29-I29</f>
        <v>1535.2199999999998</v>
      </c>
      <c r="K29" s="1"/>
      <c r="L29" s="1"/>
    </row>
    <row r="30" spans="1:12" x14ac:dyDescent="0.2">
      <c r="A30" s="1" t="s">
        <v>86</v>
      </c>
      <c r="B30" s="10">
        <v>46183</v>
      </c>
      <c r="C30" s="1" t="s">
        <v>49</v>
      </c>
      <c r="D30" s="1" t="s">
        <v>50</v>
      </c>
      <c r="E30" s="1" t="s">
        <v>51</v>
      </c>
      <c r="F30" s="11">
        <v>46</v>
      </c>
      <c r="G30" s="9">
        <v>97.52</v>
      </c>
      <c r="H30" s="9">
        <f>F30*G30</f>
        <v>4485.92</v>
      </c>
      <c r="I30" s="9">
        <f>F30*VLOOKUP(C30,Inventory!$A$4:$G$11,7,FALSE)</f>
        <v>1472</v>
      </c>
      <c r="J30" s="9">
        <f>H30-I30</f>
        <v>3013.92</v>
      </c>
      <c r="K30" s="1"/>
      <c r="L30" s="1"/>
    </row>
    <row r="31" spans="1:12" x14ac:dyDescent="0.2">
      <c r="A31" s="1" t="s">
        <v>87</v>
      </c>
      <c r="B31" s="10">
        <v>46189</v>
      </c>
      <c r="C31" s="1" t="s">
        <v>53</v>
      </c>
      <c r="D31" s="1" t="s">
        <v>54</v>
      </c>
      <c r="E31" s="1" t="s">
        <v>55</v>
      </c>
      <c r="F31" s="11">
        <v>52</v>
      </c>
      <c r="G31" s="9">
        <v>57.18</v>
      </c>
      <c r="H31" s="9">
        <f>F31*G31</f>
        <v>2973.36</v>
      </c>
      <c r="I31" s="9">
        <f>F31*VLOOKUP(C31,Inventory!$A$4:$G$11,7,FALSE)</f>
        <v>1144</v>
      </c>
      <c r="J31" s="9">
        <f>H31-I31</f>
        <v>1829.3600000000001</v>
      </c>
      <c r="K31" s="1"/>
      <c r="L31" s="1"/>
    </row>
    <row r="32" spans="1:12" x14ac:dyDescent="0.2">
      <c r="A32" s="1" t="s">
        <v>88</v>
      </c>
      <c r="B32" s="10">
        <v>46195</v>
      </c>
      <c r="C32" s="1" t="s">
        <v>57</v>
      </c>
      <c r="D32" s="1" t="s">
        <v>58</v>
      </c>
      <c r="E32" s="1" t="s">
        <v>43</v>
      </c>
      <c r="F32" s="11">
        <v>46</v>
      </c>
      <c r="G32" s="9">
        <v>254.42</v>
      </c>
      <c r="H32" s="9">
        <f>F32*G32</f>
        <v>11703.32</v>
      </c>
      <c r="I32" s="9">
        <f>F32*VLOOKUP(C32,Inventory!$A$4:$G$11,7,FALSE)</f>
        <v>4370</v>
      </c>
      <c r="J32" s="9">
        <f>H32-I32</f>
        <v>7333.32</v>
      </c>
      <c r="K32" s="1"/>
      <c r="L32" s="1"/>
    </row>
    <row r="33" spans="1:12" x14ac:dyDescent="0.2">
      <c r="A33" s="1" t="s">
        <v>89</v>
      </c>
      <c r="B33" s="10">
        <v>46201</v>
      </c>
      <c r="C33" s="1" t="s">
        <v>60</v>
      </c>
      <c r="D33" s="1" t="s">
        <v>61</v>
      </c>
      <c r="E33" s="1" t="s">
        <v>47</v>
      </c>
      <c r="F33" s="11">
        <v>31</v>
      </c>
      <c r="G33" s="9">
        <v>73.22</v>
      </c>
      <c r="H33" s="9">
        <f>F33*G33</f>
        <v>2269.8200000000002</v>
      </c>
      <c r="I33" s="9">
        <f>F33*VLOOKUP(C33,Inventory!$A$4:$G$11,7,FALSE)</f>
        <v>868</v>
      </c>
      <c r="J33" s="9">
        <f>H33-I33</f>
        <v>1401.8200000000002</v>
      </c>
      <c r="K33" s="1"/>
      <c r="L33" s="1"/>
    </row>
    <row r="34" spans="1:12" x14ac:dyDescent="0.2">
      <c r="A34" s="1" t="s">
        <v>90</v>
      </c>
      <c r="B34" s="10">
        <v>46207</v>
      </c>
      <c r="C34" s="1" t="s">
        <v>63</v>
      </c>
      <c r="D34" s="1" t="s">
        <v>64</v>
      </c>
      <c r="E34" s="1" t="s">
        <v>51</v>
      </c>
      <c r="F34" s="11">
        <v>43</v>
      </c>
      <c r="G34" s="9">
        <v>294.58999999999997</v>
      </c>
      <c r="H34" s="9">
        <f>F34*G34</f>
        <v>12667.369999999999</v>
      </c>
      <c r="I34" s="9">
        <f>F34*VLOOKUP(C34,Inventory!$A$4:$G$11,7,FALSE)</f>
        <v>4730</v>
      </c>
      <c r="J34" s="9">
        <f>H34-I34</f>
        <v>7937.369999999999</v>
      </c>
      <c r="K34" s="1"/>
      <c r="L34" s="1"/>
    </row>
    <row r="35" spans="1:12" x14ac:dyDescent="0.2">
      <c r="A35" s="1" t="s">
        <v>91</v>
      </c>
      <c r="B35" s="10">
        <v>46213</v>
      </c>
      <c r="C35" s="1" t="s">
        <v>66</v>
      </c>
      <c r="D35" s="1" t="s">
        <v>67</v>
      </c>
      <c r="E35" s="1" t="s">
        <v>55</v>
      </c>
      <c r="F35" s="11">
        <v>21</v>
      </c>
      <c r="G35" s="9">
        <v>91.28</v>
      </c>
      <c r="H35" s="9">
        <f>F35*G35</f>
        <v>1916.88</v>
      </c>
      <c r="I35" s="9">
        <f>F35*VLOOKUP(C35,Inventory!$A$4:$G$11,7,FALSE)</f>
        <v>735</v>
      </c>
      <c r="J35" s="9">
        <f>H35-I35</f>
        <v>1181.8800000000001</v>
      </c>
      <c r="K35" s="1"/>
      <c r="L35" s="1"/>
    </row>
    <row r="36" spans="1:12" x14ac:dyDescent="0.2">
      <c r="A36" s="1" t="s">
        <v>92</v>
      </c>
      <c r="B36" s="10">
        <v>46219</v>
      </c>
      <c r="C36" s="1" t="s">
        <v>41</v>
      </c>
      <c r="D36" s="1" t="s">
        <v>42</v>
      </c>
      <c r="E36" s="1" t="s">
        <v>43</v>
      </c>
      <c r="F36" s="11">
        <v>58</v>
      </c>
      <c r="G36" s="9">
        <v>50.27</v>
      </c>
      <c r="H36" s="9">
        <f>F36*G36</f>
        <v>2915.6600000000003</v>
      </c>
      <c r="I36" s="9">
        <f>F36*VLOOKUP(C36,Inventory!$A$4:$G$11,7,FALSE)</f>
        <v>1044</v>
      </c>
      <c r="J36" s="9">
        <f>H36-I36</f>
        <v>1871.6600000000003</v>
      </c>
      <c r="K36" s="1"/>
      <c r="L36" s="1"/>
    </row>
    <row r="37" spans="1:12" x14ac:dyDescent="0.2">
      <c r="A37" s="1" t="s">
        <v>93</v>
      </c>
      <c r="B37" s="10">
        <v>46225</v>
      </c>
      <c r="C37" s="1" t="s">
        <v>45</v>
      </c>
      <c r="D37" s="1" t="s">
        <v>46</v>
      </c>
      <c r="E37" s="1" t="s">
        <v>47</v>
      </c>
      <c r="F37" s="11">
        <v>53</v>
      </c>
      <c r="G37" s="9">
        <v>37.85</v>
      </c>
      <c r="H37" s="9">
        <f>F37*G37</f>
        <v>2006.0500000000002</v>
      </c>
      <c r="I37" s="9">
        <f>F37*VLOOKUP(C37,Inventory!$A$4:$G$11,7,FALSE)</f>
        <v>742</v>
      </c>
      <c r="J37" s="9">
        <f>H37-I37</f>
        <v>1264.0500000000002</v>
      </c>
      <c r="K37" s="1"/>
      <c r="L37" s="1"/>
    </row>
    <row r="38" spans="1:12" x14ac:dyDescent="0.2">
      <c r="A38" s="1" t="s">
        <v>94</v>
      </c>
      <c r="B38" s="10">
        <v>46231</v>
      </c>
      <c r="C38" s="1" t="s">
        <v>49</v>
      </c>
      <c r="D38" s="1" t="s">
        <v>50</v>
      </c>
      <c r="E38" s="1" t="s">
        <v>51</v>
      </c>
      <c r="F38" s="11">
        <v>63</v>
      </c>
      <c r="G38" s="9">
        <v>96.94</v>
      </c>
      <c r="H38" s="9">
        <f>F38*G38</f>
        <v>6107.22</v>
      </c>
      <c r="I38" s="9">
        <f>F38*VLOOKUP(C38,Inventory!$A$4:$G$11,7,FALSE)</f>
        <v>2016</v>
      </c>
      <c r="J38" s="9">
        <f>H38-I38</f>
        <v>4091.2200000000003</v>
      </c>
      <c r="K38" s="1"/>
      <c r="L38" s="1"/>
    </row>
    <row r="39" spans="1:12" x14ac:dyDescent="0.2">
      <c r="A39" s="1" t="s">
        <v>95</v>
      </c>
      <c r="B39" s="10">
        <v>46237</v>
      </c>
      <c r="C39" s="1" t="s">
        <v>53</v>
      </c>
      <c r="D39" s="1" t="s">
        <v>54</v>
      </c>
      <c r="E39" s="1" t="s">
        <v>55</v>
      </c>
      <c r="F39" s="11">
        <v>47</v>
      </c>
      <c r="G39" s="9">
        <v>54.16</v>
      </c>
      <c r="H39" s="9">
        <f>F39*G39</f>
        <v>2545.52</v>
      </c>
      <c r="I39" s="9">
        <f>F39*VLOOKUP(C39,Inventory!$A$4:$G$11,7,FALSE)</f>
        <v>1034</v>
      </c>
      <c r="J39" s="9">
        <f>H39-I39</f>
        <v>1511.52</v>
      </c>
      <c r="K39" s="1"/>
      <c r="L39" s="1"/>
    </row>
    <row r="40" spans="1:12" x14ac:dyDescent="0.2">
      <c r="A40" s="1" t="s">
        <v>96</v>
      </c>
      <c r="B40" s="10">
        <v>46243</v>
      </c>
      <c r="C40" s="1" t="s">
        <v>57</v>
      </c>
      <c r="D40" s="1" t="s">
        <v>58</v>
      </c>
      <c r="E40" s="1" t="s">
        <v>43</v>
      </c>
      <c r="F40" s="11">
        <v>48</v>
      </c>
      <c r="G40" s="9">
        <v>251.65</v>
      </c>
      <c r="H40" s="9">
        <f>F40*G40</f>
        <v>12079.2</v>
      </c>
      <c r="I40" s="9">
        <f>F40*VLOOKUP(C40,Inventory!$A$4:$G$11,7,FALSE)</f>
        <v>4560</v>
      </c>
      <c r="J40" s="9">
        <f>H40-I40</f>
        <v>7519.2000000000007</v>
      </c>
      <c r="K40" s="1"/>
      <c r="L40" s="1"/>
    </row>
    <row r="41" spans="1:12" x14ac:dyDescent="0.2">
      <c r="A41" s="1" t="s">
        <v>97</v>
      </c>
      <c r="B41" s="10">
        <v>46249</v>
      </c>
      <c r="C41" s="1" t="s">
        <v>60</v>
      </c>
      <c r="D41" s="1" t="s">
        <v>61</v>
      </c>
      <c r="E41" s="1" t="s">
        <v>47</v>
      </c>
      <c r="F41" s="11">
        <v>47</v>
      </c>
      <c r="G41" s="9">
        <v>82.51</v>
      </c>
      <c r="H41" s="9">
        <f>F41*G41</f>
        <v>3877.9700000000003</v>
      </c>
      <c r="I41" s="9">
        <f>F41*VLOOKUP(C41,Inventory!$A$4:$G$11,7,FALSE)</f>
        <v>1316</v>
      </c>
      <c r="J41" s="9">
        <f>H41-I41</f>
        <v>2561.9700000000003</v>
      </c>
      <c r="K41" s="1"/>
      <c r="L41" s="1"/>
    </row>
    <row r="42" spans="1:12" x14ac:dyDescent="0.2">
      <c r="A42" s="1" t="s">
        <v>98</v>
      </c>
      <c r="B42" s="10">
        <v>46255</v>
      </c>
      <c r="C42" s="1" t="s">
        <v>63</v>
      </c>
      <c r="D42" s="1" t="s">
        <v>64</v>
      </c>
      <c r="E42" s="1" t="s">
        <v>51</v>
      </c>
      <c r="F42" s="11">
        <v>23</v>
      </c>
      <c r="G42" s="9">
        <v>335.57</v>
      </c>
      <c r="H42" s="9">
        <f>F42*G42</f>
        <v>7718.11</v>
      </c>
      <c r="I42" s="9">
        <f>F42*VLOOKUP(C42,Inventory!$A$4:$G$11,7,FALSE)</f>
        <v>2530</v>
      </c>
      <c r="J42" s="9">
        <f>H42-I42</f>
        <v>5188.1099999999997</v>
      </c>
      <c r="K42" s="1"/>
      <c r="L42" s="1"/>
    </row>
    <row r="43" spans="1:12" x14ac:dyDescent="0.2">
      <c r="A43" s="1" t="s">
        <v>99</v>
      </c>
      <c r="B43" s="10">
        <v>46261</v>
      </c>
      <c r="C43" s="1" t="s">
        <v>66</v>
      </c>
      <c r="D43" s="1" t="s">
        <v>67</v>
      </c>
      <c r="E43" s="1" t="s">
        <v>55</v>
      </c>
      <c r="F43" s="11">
        <v>32</v>
      </c>
      <c r="G43" s="9">
        <v>96.54</v>
      </c>
      <c r="H43" s="9">
        <f>F43*G43</f>
        <v>3089.28</v>
      </c>
      <c r="I43" s="9">
        <f>F43*VLOOKUP(C43,Inventory!$A$4:$G$11,7,FALSE)</f>
        <v>1120</v>
      </c>
      <c r="J43" s="9">
        <f>H43-I43</f>
        <v>1969.2800000000002</v>
      </c>
      <c r="K43" s="1"/>
      <c r="L43" s="1"/>
    </row>
    <row r="44" spans="1:1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"/>
  <sheetViews>
    <sheetView zoomScaleNormal="60" zoomScaleSheetLayoutView="100" workbookViewId="0"/>
  </sheetViews>
  <sheetFormatPr defaultRowHeight="15" x14ac:dyDescent="0.2"/>
  <cols>
    <col min="1" max="3" width="11.97265625" customWidth="1"/>
    <col min="4" max="4" width="18.0234375" customWidth="1"/>
    <col min="5" max="5" width="25.01953125" customWidth="1"/>
    <col min="6" max="6" width="13.98828125" customWidth="1"/>
    <col min="7" max="7" width="14.9296875" customWidth="1"/>
  </cols>
  <sheetData>
    <row r="1" spans="1:12" ht="22.5" x14ac:dyDescent="0.2">
      <c r="A1" s="19" t="s">
        <v>100</v>
      </c>
      <c r="B1" s="19"/>
      <c r="C1" s="19"/>
      <c r="D1" s="19"/>
      <c r="E1" s="19"/>
      <c r="F1" s="19"/>
      <c r="G1" s="19"/>
      <c r="H1" s="1"/>
      <c r="I1" s="1"/>
      <c r="J1" s="1"/>
      <c r="K1" s="1"/>
      <c r="L1" s="1"/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8" t="s">
        <v>101</v>
      </c>
      <c r="B3" s="8" t="s">
        <v>34</v>
      </c>
      <c r="C3" s="8" t="s">
        <v>102</v>
      </c>
      <c r="D3" s="8" t="s">
        <v>103</v>
      </c>
      <c r="E3" s="8" t="s">
        <v>104</v>
      </c>
      <c r="F3" s="8" t="s">
        <v>105</v>
      </c>
      <c r="G3" s="8" t="s">
        <v>106</v>
      </c>
      <c r="H3" s="1"/>
      <c r="I3" s="1"/>
      <c r="J3" s="1"/>
      <c r="K3" s="1"/>
      <c r="L3" s="1"/>
    </row>
    <row r="4" spans="1:12" x14ac:dyDescent="0.2">
      <c r="A4" s="1" t="s">
        <v>107</v>
      </c>
      <c r="B4" s="10">
        <v>46037</v>
      </c>
      <c r="C4" s="1" t="s">
        <v>108</v>
      </c>
      <c r="D4" s="1" t="s">
        <v>109</v>
      </c>
      <c r="E4" s="1" t="s">
        <v>110</v>
      </c>
      <c r="F4" s="9">
        <f>SUM(HR!$E$4:$E$11)</f>
        <v>26950</v>
      </c>
      <c r="G4" s="1" t="s">
        <v>111</v>
      </c>
      <c r="H4" s="1"/>
      <c r="I4" s="1"/>
      <c r="J4" s="1"/>
      <c r="K4" s="1"/>
      <c r="L4" s="1"/>
    </row>
    <row r="5" spans="1:12" x14ac:dyDescent="0.2">
      <c r="A5" s="1" t="s">
        <v>112</v>
      </c>
      <c r="B5" s="10">
        <v>46047</v>
      </c>
      <c r="C5" s="1" t="s">
        <v>108</v>
      </c>
      <c r="D5" s="1" t="s">
        <v>113</v>
      </c>
      <c r="E5" s="1" t="s">
        <v>114</v>
      </c>
      <c r="F5" s="9">
        <v>1854</v>
      </c>
      <c r="G5" s="1" t="s">
        <v>111</v>
      </c>
      <c r="H5" s="1"/>
      <c r="I5" s="1"/>
      <c r="J5" s="1"/>
      <c r="K5" s="1"/>
      <c r="L5" s="1"/>
    </row>
    <row r="6" spans="1:12" x14ac:dyDescent="0.2">
      <c r="A6" s="1" t="s">
        <v>115</v>
      </c>
      <c r="B6" s="10">
        <v>46057</v>
      </c>
      <c r="C6" s="1" t="s">
        <v>108</v>
      </c>
      <c r="D6" s="1" t="s">
        <v>116</v>
      </c>
      <c r="E6" s="1" t="s">
        <v>117</v>
      </c>
      <c r="F6" s="9">
        <v>1007</v>
      </c>
      <c r="G6" s="1" t="s">
        <v>111</v>
      </c>
      <c r="H6" s="1"/>
      <c r="I6" s="1"/>
      <c r="J6" s="1"/>
      <c r="K6" s="1"/>
      <c r="L6" s="1"/>
    </row>
    <row r="7" spans="1:12" x14ac:dyDescent="0.2">
      <c r="A7" s="1" t="s">
        <v>118</v>
      </c>
      <c r="B7" s="10">
        <v>46067</v>
      </c>
      <c r="C7" s="1" t="s">
        <v>108</v>
      </c>
      <c r="D7" s="1" t="s">
        <v>119</v>
      </c>
      <c r="E7" s="1" t="s">
        <v>120</v>
      </c>
      <c r="F7" s="9">
        <v>420</v>
      </c>
      <c r="G7" s="1" t="s">
        <v>111</v>
      </c>
      <c r="H7" s="1"/>
      <c r="I7" s="1"/>
      <c r="J7" s="1"/>
      <c r="K7" s="1"/>
      <c r="L7" s="1"/>
    </row>
    <row r="8" spans="1:12" x14ac:dyDescent="0.2">
      <c r="A8" s="1" t="s">
        <v>121</v>
      </c>
      <c r="B8" s="10">
        <v>46077</v>
      </c>
      <c r="C8" s="1" t="s">
        <v>108</v>
      </c>
      <c r="D8" s="1" t="s">
        <v>122</v>
      </c>
      <c r="E8" s="1" t="s">
        <v>123</v>
      </c>
      <c r="F8" s="9">
        <v>319.3</v>
      </c>
      <c r="G8" s="1" t="s">
        <v>111</v>
      </c>
      <c r="H8" s="1"/>
      <c r="I8" s="1"/>
      <c r="J8" s="1"/>
      <c r="K8" s="1"/>
      <c r="L8" s="1"/>
    </row>
    <row r="9" spans="1:12" x14ac:dyDescent="0.2">
      <c r="A9" s="1" t="s">
        <v>124</v>
      </c>
      <c r="B9" s="10">
        <v>46087</v>
      </c>
      <c r="C9" s="1" t="s">
        <v>108</v>
      </c>
      <c r="D9" s="1" t="s">
        <v>125</v>
      </c>
      <c r="E9" s="1" t="s">
        <v>126</v>
      </c>
      <c r="F9" s="9">
        <v>689</v>
      </c>
      <c r="G9" s="1" t="s">
        <v>111</v>
      </c>
      <c r="H9" s="1"/>
      <c r="I9" s="1"/>
      <c r="J9" s="1"/>
      <c r="K9" s="1"/>
      <c r="L9" s="1"/>
    </row>
    <row r="10" spans="1:12" x14ac:dyDescent="0.2">
      <c r="A10" s="1" t="s">
        <v>127</v>
      </c>
      <c r="B10" s="10">
        <v>46097</v>
      </c>
      <c r="C10" s="1" t="s">
        <v>108</v>
      </c>
      <c r="D10" s="1" t="s">
        <v>109</v>
      </c>
      <c r="E10" s="1" t="s">
        <v>128</v>
      </c>
      <c r="F10" s="9">
        <v>2000</v>
      </c>
      <c r="G10" s="1" t="s">
        <v>111</v>
      </c>
      <c r="H10" s="1"/>
      <c r="I10" s="1"/>
      <c r="J10" s="1"/>
      <c r="K10" s="1"/>
      <c r="L10" s="1"/>
    </row>
    <row r="11" spans="1:12" x14ac:dyDescent="0.2">
      <c r="A11" s="1" t="s">
        <v>129</v>
      </c>
      <c r="B11" s="10">
        <v>46107</v>
      </c>
      <c r="C11" s="1" t="s">
        <v>108</v>
      </c>
      <c r="D11" s="1" t="s">
        <v>113</v>
      </c>
      <c r="E11" s="1" t="s">
        <v>114</v>
      </c>
      <c r="F11" s="9">
        <v>1854</v>
      </c>
      <c r="G11" s="1" t="s">
        <v>111</v>
      </c>
      <c r="H11" s="1"/>
      <c r="I11" s="1"/>
      <c r="J11" s="1"/>
      <c r="K11" s="1"/>
      <c r="L11" s="1"/>
    </row>
    <row r="12" spans="1:12" x14ac:dyDescent="0.2">
      <c r="A12" s="1" t="s">
        <v>130</v>
      </c>
      <c r="B12" s="10">
        <v>46117</v>
      </c>
      <c r="C12" s="1" t="s">
        <v>108</v>
      </c>
      <c r="D12" s="1" t="s">
        <v>116</v>
      </c>
      <c r="E12" s="1" t="s">
        <v>117</v>
      </c>
      <c r="F12" s="9">
        <v>1007</v>
      </c>
      <c r="G12" s="1" t="s">
        <v>111</v>
      </c>
      <c r="H12" s="1"/>
      <c r="I12" s="1"/>
      <c r="J12" s="1"/>
      <c r="K12" s="1"/>
      <c r="L12" s="1"/>
    </row>
    <row r="13" spans="1:12" x14ac:dyDescent="0.2">
      <c r="A13" s="1" t="s">
        <v>131</v>
      </c>
      <c r="B13" s="10">
        <v>46127</v>
      </c>
      <c r="C13" s="1" t="s">
        <v>108</v>
      </c>
      <c r="D13" s="1" t="s">
        <v>119</v>
      </c>
      <c r="E13" s="1" t="s">
        <v>120</v>
      </c>
      <c r="F13" s="9">
        <v>420</v>
      </c>
      <c r="G13" s="1" t="s">
        <v>111</v>
      </c>
      <c r="H13" s="1"/>
      <c r="I13" s="1"/>
      <c r="J13" s="1"/>
      <c r="K13" s="1"/>
      <c r="L13" s="1"/>
    </row>
    <row r="14" spans="1:12" x14ac:dyDescent="0.2">
      <c r="A14" s="1" t="s">
        <v>132</v>
      </c>
      <c r="B14" s="10">
        <v>46137</v>
      </c>
      <c r="C14" s="1" t="s">
        <v>108</v>
      </c>
      <c r="D14" s="1" t="s">
        <v>122</v>
      </c>
      <c r="E14" s="1" t="s">
        <v>123</v>
      </c>
      <c r="F14" s="9">
        <v>319.3</v>
      </c>
      <c r="G14" s="1" t="s">
        <v>111</v>
      </c>
      <c r="H14" s="1"/>
      <c r="I14" s="1"/>
      <c r="J14" s="1"/>
      <c r="K14" s="1"/>
      <c r="L14" s="1"/>
    </row>
    <row r="15" spans="1:12" x14ac:dyDescent="0.2">
      <c r="A15" s="1" t="s">
        <v>133</v>
      </c>
      <c r="B15" s="10">
        <v>46147</v>
      </c>
      <c r="C15" s="1" t="s">
        <v>108</v>
      </c>
      <c r="D15" s="1" t="s">
        <v>125</v>
      </c>
      <c r="E15" s="1" t="s">
        <v>126</v>
      </c>
      <c r="F15" s="9">
        <v>689</v>
      </c>
      <c r="G15" s="1" t="s">
        <v>111</v>
      </c>
      <c r="H15" s="1"/>
      <c r="I15" s="1"/>
      <c r="J15" s="1"/>
      <c r="K15" s="1"/>
      <c r="L15" s="1"/>
    </row>
    <row r="16" spans="1:12" x14ac:dyDescent="0.2">
      <c r="A16" s="1" t="s">
        <v>134</v>
      </c>
      <c r="B16" s="10">
        <v>46157</v>
      </c>
      <c r="C16" s="1" t="s">
        <v>108</v>
      </c>
      <c r="D16" s="1" t="s">
        <v>109</v>
      </c>
      <c r="E16" s="1" t="s">
        <v>128</v>
      </c>
      <c r="F16" s="9">
        <v>2200</v>
      </c>
      <c r="G16" s="1" t="s">
        <v>111</v>
      </c>
      <c r="H16" s="1"/>
      <c r="I16" s="1"/>
      <c r="J16" s="1"/>
      <c r="K16" s="1"/>
      <c r="L16" s="1"/>
    </row>
    <row r="17" spans="1:12" x14ac:dyDescent="0.2">
      <c r="A17" s="1" t="s">
        <v>135</v>
      </c>
      <c r="B17" s="10">
        <v>46167</v>
      </c>
      <c r="C17" s="1" t="s">
        <v>108</v>
      </c>
      <c r="D17" s="1" t="s">
        <v>113</v>
      </c>
      <c r="E17" s="1" t="s">
        <v>114</v>
      </c>
      <c r="F17" s="9">
        <v>1854</v>
      </c>
      <c r="G17" s="1" t="s">
        <v>111</v>
      </c>
      <c r="H17" s="1"/>
      <c r="I17" s="1"/>
      <c r="J17" s="1"/>
      <c r="K17" s="1"/>
      <c r="L17" s="1"/>
    </row>
    <row r="18" spans="1:12" x14ac:dyDescent="0.2">
      <c r="A18" s="1" t="s">
        <v>136</v>
      </c>
      <c r="B18" s="10">
        <v>46177</v>
      </c>
      <c r="C18" s="1" t="s">
        <v>108</v>
      </c>
      <c r="D18" s="1" t="s">
        <v>116</v>
      </c>
      <c r="E18" s="1" t="s">
        <v>117</v>
      </c>
      <c r="F18" s="9">
        <v>1007</v>
      </c>
      <c r="G18" s="1" t="s">
        <v>111</v>
      </c>
      <c r="H18" s="1"/>
      <c r="I18" s="1"/>
      <c r="J18" s="1"/>
      <c r="K18" s="1"/>
      <c r="L18" s="1"/>
    </row>
    <row r="19" spans="1:12" x14ac:dyDescent="0.2">
      <c r="A19" s="1" t="s">
        <v>137</v>
      </c>
      <c r="B19" s="10">
        <v>46187</v>
      </c>
      <c r="C19" s="1" t="s">
        <v>108</v>
      </c>
      <c r="D19" s="1" t="s">
        <v>119</v>
      </c>
      <c r="E19" s="1" t="s">
        <v>120</v>
      </c>
      <c r="F19" s="9">
        <v>420</v>
      </c>
      <c r="G19" s="1" t="s">
        <v>111</v>
      </c>
      <c r="H19" s="1"/>
      <c r="I19" s="1"/>
      <c r="J19" s="1"/>
      <c r="K19" s="1"/>
      <c r="L19" s="1"/>
    </row>
    <row r="20" spans="1:12" x14ac:dyDescent="0.2">
      <c r="A20" s="1" t="s">
        <v>138</v>
      </c>
      <c r="B20" s="10">
        <v>46197</v>
      </c>
      <c r="C20" s="1" t="s">
        <v>108</v>
      </c>
      <c r="D20" s="1" t="s">
        <v>122</v>
      </c>
      <c r="E20" s="1" t="s">
        <v>123</v>
      </c>
      <c r="F20" s="9">
        <v>319.3</v>
      </c>
      <c r="G20" s="1" t="s">
        <v>111</v>
      </c>
      <c r="H20" s="1"/>
      <c r="I20" s="1"/>
      <c r="J20" s="1"/>
      <c r="K20" s="1"/>
      <c r="L20" s="1"/>
    </row>
    <row r="21" spans="1:12" x14ac:dyDescent="0.2">
      <c r="A21" s="1" t="s">
        <v>139</v>
      </c>
      <c r="B21" s="10">
        <v>46207</v>
      </c>
      <c r="C21" s="1" t="s">
        <v>108</v>
      </c>
      <c r="D21" s="1" t="s">
        <v>125</v>
      </c>
      <c r="E21" s="1" t="s">
        <v>126</v>
      </c>
      <c r="F21" s="9">
        <v>689</v>
      </c>
      <c r="G21" s="1" t="s">
        <v>111</v>
      </c>
      <c r="H21" s="1"/>
      <c r="I21" s="1"/>
      <c r="J21" s="1"/>
      <c r="K21" s="1"/>
      <c r="L21" s="1"/>
    </row>
    <row r="22" spans="1:12" x14ac:dyDescent="0.2">
      <c r="A22" s="1" t="s">
        <v>140</v>
      </c>
      <c r="B22" s="10">
        <v>46217</v>
      </c>
      <c r="C22" s="1" t="s">
        <v>108</v>
      </c>
      <c r="D22" s="1" t="s">
        <v>109</v>
      </c>
      <c r="E22" s="1" t="s">
        <v>128</v>
      </c>
      <c r="F22" s="9">
        <v>2400</v>
      </c>
      <c r="G22" s="1" t="s">
        <v>111</v>
      </c>
      <c r="H22" s="1"/>
      <c r="I22" s="1"/>
      <c r="J22" s="1"/>
      <c r="K22" s="1"/>
      <c r="L22" s="1"/>
    </row>
    <row r="23" spans="1:12" x14ac:dyDescent="0.2">
      <c r="A23" s="1" t="s">
        <v>141</v>
      </c>
      <c r="B23" s="10">
        <v>46227</v>
      </c>
      <c r="C23" s="1" t="s">
        <v>108</v>
      </c>
      <c r="D23" s="1" t="s">
        <v>113</v>
      </c>
      <c r="E23" s="1" t="s">
        <v>114</v>
      </c>
      <c r="F23" s="9">
        <v>1854</v>
      </c>
      <c r="G23" s="1" t="s">
        <v>111</v>
      </c>
      <c r="H23" s="1"/>
      <c r="I23" s="1"/>
      <c r="J23" s="1"/>
      <c r="K23" s="1"/>
      <c r="L23" s="1"/>
    </row>
    <row r="24" spans="1:12" x14ac:dyDescent="0.2">
      <c r="A24" s="1" t="s">
        <v>142</v>
      </c>
      <c r="B24" s="10">
        <v>46237</v>
      </c>
      <c r="C24" s="1" t="s">
        <v>108</v>
      </c>
      <c r="D24" s="1" t="s">
        <v>116</v>
      </c>
      <c r="E24" s="1" t="s">
        <v>117</v>
      </c>
      <c r="F24" s="9">
        <v>1007</v>
      </c>
      <c r="G24" s="1" t="s">
        <v>111</v>
      </c>
      <c r="H24" s="1"/>
      <c r="I24" s="1"/>
      <c r="J24" s="1"/>
      <c r="K24" s="1"/>
      <c r="L24" s="1"/>
    </row>
    <row r="25" spans="1:12" x14ac:dyDescent="0.2">
      <c r="A25" s="1" t="s">
        <v>143</v>
      </c>
      <c r="B25" s="10">
        <v>46247</v>
      </c>
      <c r="C25" s="1" t="s">
        <v>108</v>
      </c>
      <c r="D25" s="1" t="s">
        <v>119</v>
      </c>
      <c r="E25" s="1" t="s">
        <v>120</v>
      </c>
      <c r="F25" s="9">
        <v>420</v>
      </c>
      <c r="G25" s="1" t="s">
        <v>111</v>
      </c>
      <c r="H25" s="1"/>
      <c r="I25" s="1"/>
      <c r="J25" s="1"/>
      <c r="K25" s="1"/>
      <c r="L25" s="1"/>
    </row>
    <row r="26" spans="1:12" x14ac:dyDescent="0.2">
      <c r="A26" s="1" t="s">
        <v>144</v>
      </c>
      <c r="B26" s="10">
        <v>46257</v>
      </c>
      <c r="C26" s="1" t="s">
        <v>108</v>
      </c>
      <c r="D26" s="1" t="s">
        <v>122</v>
      </c>
      <c r="E26" s="1" t="s">
        <v>123</v>
      </c>
      <c r="F26" s="9">
        <v>319.3</v>
      </c>
      <c r="G26" s="1" t="s">
        <v>111</v>
      </c>
      <c r="H26" s="1"/>
      <c r="I26" s="1"/>
      <c r="J26" s="1"/>
      <c r="K26" s="1"/>
      <c r="L26" s="1"/>
    </row>
    <row r="27" spans="1:12" x14ac:dyDescent="0.2">
      <c r="A27" s="1" t="s">
        <v>145</v>
      </c>
      <c r="B27" s="10">
        <v>46267</v>
      </c>
      <c r="C27" s="1" t="s">
        <v>108</v>
      </c>
      <c r="D27" s="1" t="s">
        <v>125</v>
      </c>
      <c r="E27" s="1" t="s">
        <v>126</v>
      </c>
      <c r="F27" s="9">
        <v>689</v>
      </c>
      <c r="G27" s="1" t="s">
        <v>111</v>
      </c>
      <c r="H27" s="1"/>
      <c r="I27" s="1"/>
      <c r="J27" s="1"/>
      <c r="K27" s="1"/>
      <c r="L27" s="1"/>
    </row>
    <row r="28" spans="1:12" x14ac:dyDescent="0.2">
      <c r="A28" s="1" t="s">
        <v>146</v>
      </c>
      <c r="B28" s="10">
        <v>46050</v>
      </c>
      <c r="C28" s="1" t="s">
        <v>147</v>
      </c>
      <c r="D28" s="1" t="s">
        <v>148</v>
      </c>
      <c r="E28" s="1" t="s">
        <v>149</v>
      </c>
      <c r="F28" s="9">
        <f>SUMIFS(Sales!$H$4:$H$43,Sales!$B$4:$B$43,"&gt;="&amp;DATE(2026,1,1),Sales!$B$4:$B$43,"&lt;"&amp;DATE(2026,2,1))</f>
        <v>22722.84</v>
      </c>
      <c r="G28" s="1" t="s">
        <v>150</v>
      </c>
      <c r="H28" s="1"/>
      <c r="I28" s="1"/>
      <c r="J28" s="1"/>
      <c r="K28" s="1"/>
      <c r="L28" s="1"/>
    </row>
    <row r="29" spans="1:12" x14ac:dyDescent="0.2">
      <c r="A29" s="1" t="s">
        <v>151</v>
      </c>
      <c r="B29" s="10">
        <v>46081</v>
      </c>
      <c r="C29" s="1" t="s">
        <v>147</v>
      </c>
      <c r="D29" s="1" t="s">
        <v>148</v>
      </c>
      <c r="E29" s="1" t="s">
        <v>152</v>
      </c>
      <c r="F29" s="9">
        <f>SUMIFS(Sales!$H$4:$H$43,Sales!$B$4:$B$43,"&gt;="&amp;DATE(2026,2,1),Sales!$B$4:$B$43,"&lt;"&amp;DATE(2026,3,1))</f>
        <v>18313.95</v>
      </c>
      <c r="G29" s="1" t="s">
        <v>150</v>
      </c>
      <c r="H29" s="1"/>
      <c r="I29" s="1"/>
      <c r="J29" s="1"/>
      <c r="K29" s="1"/>
      <c r="L29" s="1"/>
    </row>
    <row r="30" spans="1:12" x14ac:dyDescent="0.2">
      <c r="A30" s="1" t="s">
        <v>153</v>
      </c>
      <c r="B30" s="10">
        <v>46109</v>
      </c>
      <c r="C30" s="1" t="s">
        <v>147</v>
      </c>
      <c r="D30" s="1" t="s">
        <v>148</v>
      </c>
      <c r="E30" s="1" t="s">
        <v>154</v>
      </c>
      <c r="F30" s="9">
        <f>SUMIFS(Sales!$H$4:$H$43,Sales!$B$4:$B$43,"&gt;="&amp;DATE(2026,3,1),Sales!$B$4:$B$43,"&lt;"&amp;DATE(2026,4,1))</f>
        <v>33325.69</v>
      </c>
      <c r="G30" s="1" t="s">
        <v>150</v>
      </c>
      <c r="H30" s="1"/>
      <c r="I30" s="1"/>
      <c r="J30" s="1"/>
      <c r="K30" s="1"/>
      <c r="L30" s="1"/>
    </row>
    <row r="31" spans="1:12" x14ac:dyDescent="0.2">
      <c r="A31" s="1" t="s">
        <v>155</v>
      </c>
      <c r="B31" s="10">
        <v>46140</v>
      </c>
      <c r="C31" s="1" t="s">
        <v>147</v>
      </c>
      <c r="D31" s="1" t="s">
        <v>148</v>
      </c>
      <c r="E31" s="1" t="s">
        <v>156</v>
      </c>
      <c r="F31" s="9">
        <f>SUMIFS(Sales!$H$4:$H$43,Sales!$B$4:$B$43,"&gt;="&amp;DATE(2026,4,1),Sales!$B$4:$B$43,"&lt;"&amp;DATE(2026,5,1))</f>
        <v>16347.61</v>
      </c>
      <c r="G31" s="1" t="s">
        <v>150</v>
      </c>
      <c r="H31" s="1"/>
      <c r="I31" s="1"/>
      <c r="J31" s="1"/>
      <c r="K31" s="1"/>
      <c r="L31" s="1"/>
    </row>
    <row r="32" spans="1:12" x14ac:dyDescent="0.2">
      <c r="A32" s="1" t="s">
        <v>157</v>
      </c>
      <c r="B32" s="10">
        <v>46170</v>
      </c>
      <c r="C32" s="1" t="s">
        <v>147</v>
      </c>
      <c r="D32" s="1" t="s">
        <v>148</v>
      </c>
      <c r="E32" s="1" t="s">
        <v>158</v>
      </c>
      <c r="F32" s="9">
        <f>SUMIFS(Sales!$H$4:$H$43,Sales!$B$4:$B$43,"&gt;="&amp;DATE(2026,5,1),Sales!$B$4:$B$43,"&lt;"&amp;DATE(2026,6,1))</f>
        <v>44879.82</v>
      </c>
      <c r="G32" s="1" t="s">
        <v>150</v>
      </c>
      <c r="H32" s="1"/>
      <c r="I32" s="1"/>
      <c r="J32" s="1"/>
      <c r="K32" s="1"/>
      <c r="L32" s="1"/>
    </row>
    <row r="33" spans="1:12" x14ac:dyDescent="0.2">
      <c r="A33" s="1" t="s">
        <v>159</v>
      </c>
      <c r="B33" s="10">
        <v>46201</v>
      </c>
      <c r="C33" s="1" t="s">
        <v>147</v>
      </c>
      <c r="D33" s="1" t="s">
        <v>148</v>
      </c>
      <c r="E33" s="1" t="s">
        <v>160</v>
      </c>
      <c r="F33" s="9">
        <f>SUMIFS(Sales!$H$4:$H$43,Sales!$B$4:$B$43,"&gt;="&amp;DATE(2026,6,1),Sales!$B$4:$B$43,"&lt;"&amp;DATE(2026,7,1))</f>
        <v>23723.64</v>
      </c>
      <c r="G33" s="1" t="s">
        <v>150</v>
      </c>
      <c r="H33" s="1"/>
      <c r="I33" s="1"/>
      <c r="J33" s="1"/>
      <c r="K33" s="1"/>
      <c r="L33" s="1"/>
    </row>
    <row r="34" spans="1:12" x14ac:dyDescent="0.2">
      <c r="A34" s="1" t="s">
        <v>161</v>
      </c>
      <c r="B34" s="10">
        <v>46231</v>
      </c>
      <c r="C34" s="1" t="s">
        <v>147</v>
      </c>
      <c r="D34" s="1" t="s">
        <v>148</v>
      </c>
      <c r="E34" s="1" t="s">
        <v>162</v>
      </c>
      <c r="F34" s="9">
        <f>SUMIFS(Sales!$H$4:$H$43,Sales!$B$4:$B$43,"&gt;="&amp;DATE(2026,7,1),Sales!$B$4:$B$43,"&lt;"&amp;DATE(2026,8,1))</f>
        <v>25613.18</v>
      </c>
      <c r="G34" s="1" t="s">
        <v>150</v>
      </c>
      <c r="H34" s="1"/>
      <c r="I34" s="1"/>
      <c r="J34" s="1"/>
      <c r="K34" s="1"/>
      <c r="L34" s="1"/>
    </row>
    <row r="35" spans="1:12" x14ac:dyDescent="0.2">
      <c r="A35" s="1" t="s">
        <v>163</v>
      </c>
      <c r="B35" s="10">
        <v>46262</v>
      </c>
      <c r="C35" s="1" t="s">
        <v>147</v>
      </c>
      <c r="D35" s="1" t="s">
        <v>148</v>
      </c>
      <c r="E35" s="1" t="s">
        <v>164</v>
      </c>
      <c r="F35" s="9">
        <f>SUMIFS(Sales!$H$4:$H$43,Sales!$B$4:$B$43,"&gt;="&amp;DATE(2026,8,1),Sales!$B$4:$B$43,"&lt;"&amp;DATE(2026,9,1))</f>
        <v>29310.080000000002</v>
      </c>
      <c r="G35" s="1" t="s">
        <v>150</v>
      </c>
      <c r="H35" s="1"/>
      <c r="I35" s="1"/>
      <c r="J35" s="1"/>
      <c r="K35" s="1"/>
      <c r="L35" s="1"/>
    </row>
    <row r="36" spans="1:12" x14ac:dyDescent="0.2">
      <c r="A36" s="1" t="s">
        <v>165</v>
      </c>
      <c r="B36" s="10">
        <v>46293</v>
      </c>
      <c r="C36" s="1" t="s">
        <v>147</v>
      </c>
      <c r="D36" s="1" t="s">
        <v>148</v>
      </c>
      <c r="E36" s="1" t="s">
        <v>166</v>
      </c>
      <c r="F36" s="9">
        <f>SUMIFS(Sales!$H$4:$H$43,Sales!$B$4:$B$43,"&gt;="&amp;DATE(2026,9,1),Sales!$B$4:$B$43,"&lt;"&amp;DATE(2026,10,1))</f>
        <v>0</v>
      </c>
      <c r="G36" s="1" t="s">
        <v>150</v>
      </c>
      <c r="H36" s="1"/>
      <c r="I36" s="1"/>
      <c r="J36" s="1"/>
      <c r="K36" s="1"/>
      <c r="L36" s="1"/>
    </row>
    <row r="37" spans="1:12" x14ac:dyDescent="0.2">
      <c r="A37" s="1" t="s">
        <v>167</v>
      </c>
      <c r="B37" s="10">
        <v>46323</v>
      </c>
      <c r="C37" s="1" t="s">
        <v>147</v>
      </c>
      <c r="D37" s="1" t="s">
        <v>148</v>
      </c>
      <c r="E37" s="1" t="s">
        <v>168</v>
      </c>
      <c r="F37" s="9">
        <f>SUMIFS(Sales!$H$4:$H$43,Sales!$B$4:$B$43,"&gt;="&amp;DATE(2026,10,1),Sales!$B$4:$B$43,"&lt;"&amp;DATE(2026,11,1))</f>
        <v>0</v>
      </c>
      <c r="G37" s="1" t="s">
        <v>150</v>
      </c>
      <c r="H37" s="1"/>
      <c r="I37" s="1"/>
      <c r="J37" s="1"/>
      <c r="K37" s="1"/>
      <c r="L37" s="1"/>
    </row>
    <row r="38" spans="1:12" x14ac:dyDescent="0.2">
      <c r="A38" s="1" t="s">
        <v>169</v>
      </c>
      <c r="B38" s="10">
        <v>46354</v>
      </c>
      <c r="C38" s="1" t="s">
        <v>147</v>
      </c>
      <c r="D38" s="1" t="s">
        <v>148</v>
      </c>
      <c r="E38" s="1" t="s">
        <v>170</v>
      </c>
      <c r="F38" s="9">
        <f>SUMIFS(Sales!$H$4:$H$43,Sales!$B$4:$B$43,"&gt;="&amp;DATE(2026,11,1),Sales!$B$4:$B$43,"&lt;"&amp;DATE(2026,12,1))</f>
        <v>0</v>
      </c>
      <c r="G38" s="1" t="s">
        <v>150</v>
      </c>
      <c r="H38" s="1"/>
      <c r="I38" s="1"/>
      <c r="J38" s="1"/>
      <c r="K38" s="1"/>
      <c r="L38" s="1"/>
    </row>
    <row r="39" spans="1:12" x14ac:dyDescent="0.2">
      <c r="A39" s="1" t="s">
        <v>171</v>
      </c>
      <c r="B39" s="10">
        <v>46384</v>
      </c>
      <c r="C39" s="1" t="s">
        <v>147</v>
      </c>
      <c r="D39" s="1" t="s">
        <v>148</v>
      </c>
      <c r="E39" s="1" t="s">
        <v>172</v>
      </c>
      <c r="F39" s="9">
        <f>SUMIFS(Sales!$H$4:$H$43,Sales!$B$4:$B$43,"&gt;="&amp;DATE(2026,12,1),Sales!$B$4:$B$43,"&lt;"&amp;DATE(2027,1,1))</f>
        <v>0</v>
      </c>
      <c r="G39" s="1" t="s">
        <v>150</v>
      </c>
      <c r="H39" s="1"/>
      <c r="I39" s="1"/>
      <c r="J39" s="1"/>
      <c r="K39" s="1"/>
      <c r="L39" s="1"/>
    </row>
    <row r="40" spans="1:1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1">
    <mergeCell ref="A1:G1"/>
  </mergeCells>
  <dataValidations count="1">
    <dataValidation type="list" sqref="C4:C100" xr:uid="{00000000-0002-0000-0200-000000000000}">
      <formula1>"Income,Expense"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"/>
  <sheetViews>
    <sheetView zoomScaleNormal="60" zoomScaleSheetLayoutView="100" workbookViewId="0"/>
  </sheetViews>
  <sheetFormatPr defaultRowHeight="15" x14ac:dyDescent="0.2"/>
  <cols>
    <col min="1" max="1" width="11.02734375" customWidth="1"/>
    <col min="2" max="2" width="22.05859375" customWidth="1"/>
    <col min="3" max="3" width="16.0078125" customWidth="1"/>
    <col min="4" max="4" width="13.98828125" customWidth="1"/>
    <col min="5" max="5" width="11.97265625" customWidth="1"/>
    <col min="6" max="6" width="13.046875" customWidth="1"/>
    <col min="7" max="7" width="11.97265625" customWidth="1"/>
    <col min="8" max="8" width="16.0078125" customWidth="1"/>
  </cols>
  <sheetData>
    <row r="1" spans="1:12" ht="22.5" x14ac:dyDescent="0.2">
      <c r="A1" s="19" t="s">
        <v>173</v>
      </c>
      <c r="B1" s="19"/>
      <c r="C1" s="19"/>
      <c r="D1" s="19"/>
      <c r="E1" s="19"/>
      <c r="F1" s="19"/>
      <c r="G1" s="19"/>
      <c r="H1" s="19"/>
      <c r="I1" s="1"/>
      <c r="J1" s="1"/>
      <c r="K1" s="1"/>
      <c r="L1" s="1"/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8" t="s">
        <v>35</v>
      </c>
      <c r="B3" s="8" t="s">
        <v>18</v>
      </c>
      <c r="C3" s="8" t="s">
        <v>103</v>
      </c>
      <c r="D3" s="8" t="s">
        <v>174</v>
      </c>
      <c r="E3" s="8" t="s">
        <v>12</v>
      </c>
      <c r="F3" s="8" t="s">
        <v>19</v>
      </c>
      <c r="G3" s="8" t="s">
        <v>175</v>
      </c>
      <c r="H3" s="8" t="s">
        <v>6</v>
      </c>
      <c r="I3" s="1"/>
      <c r="J3" s="1"/>
      <c r="K3" s="1"/>
      <c r="L3" s="1"/>
    </row>
    <row r="4" spans="1:12" x14ac:dyDescent="0.2">
      <c r="A4" s="1" t="s">
        <v>41</v>
      </c>
      <c r="B4" s="1" t="s">
        <v>42</v>
      </c>
      <c r="C4" s="1" t="s">
        <v>176</v>
      </c>
      <c r="D4" s="12">
        <v>1500</v>
      </c>
      <c r="E4" s="12">
        <f>SUMIF(Sales!$C$4:$C$43,A4,Sales!$F$4:$F$43)</f>
        <v>244</v>
      </c>
      <c r="F4" s="12">
        <f>D4-E4</f>
        <v>1256</v>
      </c>
      <c r="G4" s="12">
        <v>18</v>
      </c>
      <c r="H4" s="12">
        <f>F4*G4</f>
        <v>22608</v>
      </c>
      <c r="I4" s="1"/>
      <c r="J4" s="1"/>
      <c r="K4" s="1"/>
      <c r="L4" s="1"/>
    </row>
    <row r="5" spans="1:12" x14ac:dyDescent="0.2">
      <c r="A5" s="1" t="s">
        <v>45</v>
      </c>
      <c r="B5" s="1" t="s">
        <v>46</v>
      </c>
      <c r="C5" s="1" t="s">
        <v>177</v>
      </c>
      <c r="D5" s="12">
        <v>1800</v>
      </c>
      <c r="E5" s="12">
        <f>SUMIF(Sales!$C$4:$C$43,A5,Sales!$F$4:$F$43)</f>
        <v>253</v>
      </c>
      <c r="F5" s="12">
        <f>D5-E5</f>
        <v>1547</v>
      </c>
      <c r="G5" s="12">
        <v>14</v>
      </c>
      <c r="H5" s="12">
        <f>F5*G5</f>
        <v>21658</v>
      </c>
      <c r="I5" s="1"/>
      <c r="J5" s="1"/>
      <c r="K5" s="1"/>
      <c r="L5" s="1"/>
    </row>
    <row r="6" spans="1:12" x14ac:dyDescent="0.2">
      <c r="A6" s="1" t="s">
        <v>49</v>
      </c>
      <c r="B6" s="1" t="s">
        <v>50</v>
      </c>
      <c r="C6" s="1" t="s">
        <v>177</v>
      </c>
      <c r="D6" s="12">
        <v>1200</v>
      </c>
      <c r="E6" s="12">
        <f>SUMIF(Sales!$C$4:$C$43,A6,Sales!$F$4:$F$43)</f>
        <v>199</v>
      </c>
      <c r="F6" s="12">
        <f>D6-E6</f>
        <v>1001</v>
      </c>
      <c r="G6" s="12">
        <v>32</v>
      </c>
      <c r="H6" s="12">
        <f>F6*G6</f>
        <v>32032</v>
      </c>
      <c r="I6" s="1"/>
      <c r="J6" s="1"/>
      <c r="K6" s="1"/>
      <c r="L6" s="1"/>
    </row>
    <row r="7" spans="1:12" x14ac:dyDescent="0.2">
      <c r="A7" s="1" t="s">
        <v>53</v>
      </c>
      <c r="B7" s="1" t="s">
        <v>54</v>
      </c>
      <c r="C7" s="1" t="s">
        <v>177</v>
      </c>
      <c r="D7" s="12">
        <v>1400</v>
      </c>
      <c r="E7" s="12">
        <f>SUMIF(Sales!$C$4:$C$43,A7,Sales!$F$4:$F$43)</f>
        <v>232</v>
      </c>
      <c r="F7" s="12">
        <f>D7-E7</f>
        <v>1168</v>
      </c>
      <c r="G7" s="12">
        <v>22</v>
      </c>
      <c r="H7" s="12">
        <f>F7*G7</f>
        <v>25696</v>
      </c>
      <c r="I7" s="1"/>
      <c r="J7" s="1"/>
      <c r="K7" s="1"/>
      <c r="L7" s="1"/>
    </row>
    <row r="8" spans="1:12" x14ac:dyDescent="0.2">
      <c r="A8" s="1" t="s">
        <v>57</v>
      </c>
      <c r="B8" s="1" t="s">
        <v>58</v>
      </c>
      <c r="C8" s="1" t="s">
        <v>178</v>
      </c>
      <c r="D8" s="12">
        <v>600</v>
      </c>
      <c r="E8" s="12">
        <f>SUMIF(Sales!$C$4:$C$43,A8,Sales!$F$4:$F$43)</f>
        <v>244</v>
      </c>
      <c r="F8" s="12">
        <f>D8-E8</f>
        <v>356</v>
      </c>
      <c r="G8" s="12">
        <v>95</v>
      </c>
      <c r="H8" s="12">
        <f>F8*G8</f>
        <v>33820</v>
      </c>
      <c r="I8" s="1"/>
      <c r="J8" s="1"/>
      <c r="K8" s="1"/>
      <c r="L8" s="1"/>
    </row>
    <row r="9" spans="1:12" x14ac:dyDescent="0.2">
      <c r="A9" s="1" t="s">
        <v>60</v>
      </c>
      <c r="B9" s="1" t="s">
        <v>61</v>
      </c>
      <c r="C9" s="1" t="s">
        <v>178</v>
      </c>
      <c r="D9" s="12">
        <v>900</v>
      </c>
      <c r="E9" s="12">
        <f>SUMIF(Sales!$C$4:$C$43,A9,Sales!$F$4:$F$43)</f>
        <v>195</v>
      </c>
      <c r="F9" s="12">
        <f>D9-E9</f>
        <v>705</v>
      </c>
      <c r="G9" s="12">
        <v>28</v>
      </c>
      <c r="H9" s="12">
        <f>F9*G9</f>
        <v>19740</v>
      </c>
      <c r="I9" s="1"/>
      <c r="J9" s="1"/>
      <c r="K9" s="1"/>
      <c r="L9" s="1"/>
    </row>
    <row r="10" spans="1:12" x14ac:dyDescent="0.2">
      <c r="A10" s="1" t="s">
        <v>63</v>
      </c>
      <c r="B10" s="1" t="s">
        <v>64</v>
      </c>
      <c r="C10" s="1" t="s">
        <v>177</v>
      </c>
      <c r="D10" s="12">
        <v>700</v>
      </c>
      <c r="E10" s="12">
        <f>SUMIF(Sales!$C$4:$C$43,A10,Sales!$F$4:$F$43)</f>
        <v>183</v>
      </c>
      <c r="F10" s="12">
        <f>D10-E10</f>
        <v>517</v>
      </c>
      <c r="G10" s="12">
        <v>110</v>
      </c>
      <c r="H10" s="12">
        <f>F10*G10</f>
        <v>56870</v>
      </c>
      <c r="I10" s="1"/>
      <c r="J10" s="1"/>
      <c r="K10" s="1"/>
      <c r="L10" s="1"/>
    </row>
    <row r="11" spans="1:12" x14ac:dyDescent="0.2">
      <c r="A11" s="1" t="s">
        <v>66</v>
      </c>
      <c r="B11" s="1" t="s">
        <v>67</v>
      </c>
      <c r="C11" s="1" t="s">
        <v>177</v>
      </c>
      <c r="D11" s="12">
        <v>850</v>
      </c>
      <c r="E11" s="12">
        <f>SUMIF(Sales!$C$4:$C$43,A11,Sales!$F$4:$F$43)</f>
        <v>239</v>
      </c>
      <c r="F11" s="12">
        <f>D11-E11</f>
        <v>611</v>
      </c>
      <c r="G11" s="12">
        <v>35</v>
      </c>
      <c r="H11" s="12">
        <f>F11*G11</f>
        <v>21385</v>
      </c>
      <c r="I11" s="1"/>
      <c r="J11" s="1"/>
      <c r="K11" s="1"/>
      <c r="L11" s="1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1">
    <mergeCell ref="A1:H1"/>
  </mergeCells>
  <conditionalFormatting sqref="F4:F11">
    <cfRule type="cellIs" dxfId="0" priority="1" operator="lessThan">
      <formula>500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0"/>
  <sheetViews>
    <sheetView zoomScaleNormal="60" zoomScaleSheetLayoutView="100" workbookViewId="0"/>
  </sheetViews>
  <sheetFormatPr defaultRowHeight="15" x14ac:dyDescent="0.2"/>
  <cols>
    <col min="1" max="1" width="11.97265625" customWidth="1"/>
    <col min="2" max="2" width="20.04296875" customWidth="1"/>
    <col min="3" max="3" width="14.9296875" customWidth="1"/>
    <col min="4" max="4" width="20.04296875" customWidth="1"/>
    <col min="5" max="5" width="14.9296875" customWidth="1"/>
    <col min="6" max="6" width="13.98828125" customWidth="1"/>
    <col min="7" max="7" width="18.0234375" customWidth="1"/>
    <col min="8" max="8" width="11.97265625" customWidth="1"/>
  </cols>
  <sheetData>
    <row r="1" spans="1:12" ht="22.5" x14ac:dyDescent="0.2">
      <c r="A1" s="19" t="s">
        <v>179</v>
      </c>
      <c r="B1" s="19"/>
      <c r="C1" s="19"/>
      <c r="D1" s="19"/>
      <c r="E1" s="19"/>
      <c r="F1" s="19"/>
      <c r="G1" s="19"/>
      <c r="H1" s="19"/>
      <c r="I1" s="1"/>
      <c r="J1" s="1"/>
      <c r="K1" s="1"/>
      <c r="L1" s="1"/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8" t="s">
        <v>180</v>
      </c>
      <c r="B3" s="8" t="s">
        <v>181</v>
      </c>
      <c r="C3" s="8" t="s">
        <v>182</v>
      </c>
      <c r="D3" s="8" t="s">
        <v>183</v>
      </c>
      <c r="E3" s="8" t="s">
        <v>184</v>
      </c>
      <c r="F3" s="8" t="s">
        <v>185</v>
      </c>
      <c r="G3" s="8" t="s">
        <v>186</v>
      </c>
      <c r="H3" s="8" t="s">
        <v>187</v>
      </c>
      <c r="I3" s="1"/>
      <c r="J3" s="1"/>
      <c r="K3" s="1"/>
      <c r="L3" s="1"/>
    </row>
    <row r="4" spans="1:12" x14ac:dyDescent="0.2">
      <c r="A4" s="1" t="s">
        <v>188</v>
      </c>
      <c r="B4" s="1" t="s">
        <v>189</v>
      </c>
      <c r="C4" s="1" t="s">
        <v>190</v>
      </c>
      <c r="D4" s="1" t="s">
        <v>191</v>
      </c>
      <c r="E4" s="9">
        <v>4200</v>
      </c>
      <c r="F4" s="13">
        <v>0.96</v>
      </c>
      <c r="G4" s="14">
        <v>92</v>
      </c>
      <c r="H4" s="1" t="s">
        <v>192</v>
      </c>
      <c r="I4" s="1"/>
      <c r="J4" s="1"/>
      <c r="K4" s="1"/>
      <c r="L4" s="1"/>
    </row>
    <row r="5" spans="1:12" x14ac:dyDescent="0.2">
      <c r="A5" s="1" t="s">
        <v>193</v>
      </c>
      <c r="B5" s="1" t="s">
        <v>194</v>
      </c>
      <c r="C5" s="1" t="s">
        <v>190</v>
      </c>
      <c r="D5" s="1" t="s">
        <v>195</v>
      </c>
      <c r="E5" s="9">
        <v>3200</v>
      </c>
      <c r="F5" s="13">
        <v>0.94</v>
      </c>
      <c r="G5" s="14">
        <v>88</v>
      </c>
      <c r="H5" s="1" t="s">
        <v>192</v>
      </c>
      <c r="I5" s="1"/>
      <c r="J5" s="1"/>
      <c r="K5" s="1"/>
      <c r="L5" s="1"/>
    </row>
    <row r="6" spans="1:12" x14ac:dyDescent="0.2">
      <c r="A6" s="1" t="s">
        <v>196</v>
      </c>
      <c r="B6" s="1" t="s">
        <v>197</v>
      </c>
      <c r="C6" s="1" t="s">
        <v>190</v>
      </c>
      <c r="D6" s="1" t="s">
        <v>195</v>
      </c>
      <c r="E6" s="9">
        <v>3100</v>
      </c>
      <c r="F6" s="13">
        <v>0.91</v>
      </c>
      <c r="G6" s="14">
        <v>84</v>
      </c>
      <c r="H6" s="1" t="s">
        <v>192</v>
      </c>
      <c r="I6" s="1"/>
      <c r="J6" s="1"/>
      <c r="K6" s="1"/>
      <c r="L6" s="1"/>
    </row>
    <row r="7" spans="1:12" x14ac:dyDescent="0.2">
      <c r="A7" s="1" t="s">
        <v>198</v>
      </c>
      <c r="B7" s="1" t="s">
        <v>199</v>
      </c>
      <c r="C7" s="1" t="s">
        <v>190</v>
      </c>
      <c r="D7" s="1" t="s">
        <v>195</v>
      </c>
      <c r="E7" s="9">
        <v>3150</v>
      </c>
      <c r="F7" s="13">
        <v>0.97</v>
      </c>
      <c r="G7" s="14">
        <v>94</v>
      </c>
      <c r="H7" s="1" t="s">
        <v>192</v>
      </c>
      <c r="I7" s="1"/>
      <c r="J7" s="1"/>
      <c r="K7" s="1"/>
      <c r="L7" s="1"/>
    </row>
    <row r="8" spans="1:12" x14ac:dyDescent="0.2">
      <c r="A8" s="1" t="s">
        <v>200</v>
      </c>
      <c r="B8" s="1" t="s">
        <v>201</v>
      </c>
      <c r="C8" s="1" t="s">
        <v>202</v>
      </c>
      <c r="D8" s="1" t="s">
        <v>203</v>
      </c>
      <c r="E8" s="9">
        <v>3600</v>
      </c>
      <c r="F8" s="13">
        <v>0.95</v>
      </c>
      <c r="G8" s="14">
        <v>90</v>
      </c>
      <c r="H8" s="1" t="s">
        <v>192</v>
      </c>
      <c r="I8" s="1"/>
      <c r="J8" s="1"/>
      <c r="K8" s="1"/>
      <c r="L8" s="1"/>
    </row>
    <row r="9" spans="1:12" x14ac:dyDescent="0.2">
      <c r="A9" s="1" t="s">
        <v>204</v>
      </c>
      <c r="B9" s="1" t="s">
        <v>205</v>
      </c>
      <c r="C9" s="1" t="s">
        <v>206</v>
      </c>
      <c r="D9" s="1" t="s">
        <v>207</v>
      </c>
      <c r="E9" s="9">
        <v>3000</v>
      </c>
      <c r="F9" s="13">
        <v>0.93</v>
      </c>
      <c r="G9" s="14">
        <v>86</v>
      </c>
      <c r="H9" s="1" t="s">
        <v>192</v>
      </c>
      <c r="I9" s="1"/>
      <c r="J9" s="1"/>
      <c r="K9" s="1"/>
      <c r="L9" s="1"/>
    </row>
    <row r="10" spans="1:12" x14ac:dyDescent="0.2">
      <c r="A10" s="1" t="s">
        <v>208</v>
      </c>
      <c r="B10" s="1" t="s">
        <v>209</v>
      </c>
      <c r="C10" s="1" t="s">
        <v>210</v>
      </c>
      <c r="D10" s="1" t="s">
        <v>211</v>
      </c>
      <c r="E10" s="9">
        <v>3400</v>
      </c>
      <c r="F10" s="13">
        <v>0.98</v>
      </c>
      <c r="G10" s="14">
        <v>93</v>
      </c>
      <c r="H10" s="1" t="s">
        <v>192</v>
      </c>
      <c r="I10" s="1"/>
      <c r="J10" s="1"/>
      <c r="K10" s="1"/>
      <c r="L10" s="1"/>
    </row>
    <row r="11" spans="1:12" x14ac:dyDescent="0.2">
      <c r="A11" s="1" t="s">
        <v>212</v>
      </c>
      <c r="B11" s="1" t="s">
        <v>213</v>
      </c>
      <c r="C11" s="1" t="s">
        <v>206</v>
      </c>
      <c r="D11" s="1" t="s">
        <v>214</v>
      </c>
      <c r="E11" s="9">
        <v>3300</v>
      </c>
      <c r="F11" s="13">
        <v>0.92</v>
      </c>
      <c r="G11" s="14">
        <v>85</v>
      </c>
      <c r="H11" s="1" t="s">
        <v>192</v>
      </c>
      <c r="I11" s="1"/>
      <c r="J11" s="1"/>
      <c r="K11" s="1"/>
      <c r="L11" s="1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1">
    <mergeCell ref="A1:H1"/>
  </mergeCells>
  <conditionalFormatting sqref="G4:G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qref="H4:H100" xr:uid="{00000000-0002-0000-0400-000000000000}">
      <formula1>"Active,Inactive,On Leave"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zoomScaleNormal="60" zoomScaleSheetLayoutView="100" workbookViewId="0"/>
  </sheetViews>
  <sheetFormatPr defaultRowHeight="15" x14ac:dyDescent="0.2"/>
  <cols>
    <col min="1" max="1" width="22.05859375" customWidth="1"/>
    <col min="2" max="2" width="45.0625" customWidth="1"/>
    <col min="3" max="3" width="55.01953125" customWidth="1"/>
  </cols>
  <sheetData>
    <row r="1" spans="1:8" x14ac:dyDescent="0.2">
      <c r="A1" s="20" t="s">
        <v>215</v>
      </c>
      <c r="B1" s="20"/>
      <c r="C1" s="20"/>
      <c r="D1" s="20"/>
      <c r="E1" s="20"/>
      <c r="F1" s="20"/>
      <c r="G1" s="20"/>
      <c r="H1" s="20"/>
    </row>
    <row r="2" spans="1:8" x14ac:dyDescent="0.2">
      <c r="A2" s="20"/>
      <c r="B2" s="20"/>
      <c r="C2" s="20"/>
      <c r="D2" s="20"/>
      <c r="E2" s="20"/>
      <c r="F2" s="20"/>
      <c r="G2" s="20"/>
      <c r="H2" s="20"/>
    </row>
    <row r="4" spans="1:8" ht="36" customHeight="1" x14ac:dyDescent="0.2">
      <c r="A4" s="15" t="s">
        <v>216</v>
      </c>
      <c r="B4" s="15" t="s">
        <v>217</v>
      </c>
      <c r="C4" s="15" t="s">
        <v>218</v>
      </c>
    </row>
    <row r="5" spans="1:8" ht="36" customHeight="1" x14ac:dyDescent="0.2">
      <c r="A5" s="16" t="s">
        <v>219</v>
      </c>
      <c r="B5" s="16" t="s">
        <v>220</v>
      </c>
      <c r="C5" s="16" t="s">
        <v>221</v>
      </c>
    </row>
    <row r="6" spans="1:8" ht="36" customHeight="1" x14ac:dyDescent="0.2">
      <c r="A6" s="16" t="s">
        <v>190</v>
      </c>
      <c r="B6" s="16" t="s">
        <v>222</v>
      </c>
      <c r="C6" s="16" t="s">
        <v>223</v>
      </c>
    </row>
    <row r="7" spans="1:8" ht="36" customHeight="1" x14ac:dyDescent="0.2">
      <c r="A7" s="16" t="s">
        <v>202</v>
      </c>
      <c r="B7" s="16" t="s">
        <v>224</v>
      </c>
      <c r="C7" s="16" t="s">
        <v>225</v>
      </c>
    </row>
    <row r="8" spans="1:8" ht="36" customHeight="1" x14ac:dyDescent="0.2">
      <c r="A8" s="16" t="s">
        <v>226</v>
      </c>
      <c r="B8" s="16" t="s">
        <v>227</v>
      </c>
      <c r="C8" s="16" t="s">
        <v>228</v>
      </c>
    </row>
    <row r="9" spans="1:8" ht="36" customHeight="1" x14ac:dyDescent="0.2">
      <c r="A9" s="16" t="s">
        <v>210</v>
      </c>
      <c r="B9" s="16" t="s">
        <v>229</v>
      </c>
      <c r="C9" s="16" t="s">
        <v>230</v>
      </c>
    </row>
    <row r="10" spans="1:8" ht="36" customHeight="1" x14ac:dyDescent="0.2">
      <c r="A10" s="16" t="s">
        <v>231</v>
      </c>
      <c r="B10" s="16" t="s">
        <v>232</v>
      </c>
      <c r="C10" s="16" t="s">
        <v>233</v>
      </c>
    </row>
    <row r="11" spans="1:8" ht="36" customHeight="1" x14ac:dyDescent="0.2">
      <c r="A11" s="16" t="s">
        <v>234</v>
      </c>
      <c r="B11" s="16" t="s">
        <v>235</v>
      </c>
      <c r="C11" s="16" t="s">
        <v>236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Dashboard</vt:lpstr>
      <vt:lpstr>Sales</vt:lpstr>
      <vt:lpstr>Finance</vt:lpstr>
      <vt:lpstr>Inventory</vt:lpstr>
      <vt:lpstr>HR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mohammadi</dc:creator>
  <dcterms:created xsi:type="dcterms:W3CDTF">2026-10-04T19:10:52Z</dcterms:created>
</cp:coreProperties>
</file>